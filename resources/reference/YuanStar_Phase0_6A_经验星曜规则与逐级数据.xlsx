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Yan\"/>
    </mc:Choice>
  </mc:AlternateContent>
  <xr:revisionPtr revIDLastSave="0" documentId="13_ncr:1_{1F0453F5-2A30-47AA-8BAB-3156AFF81C42}" xr6:coauthVersionLast="47" xr6:coauthVersionMax="47" xr10:uidLastSave="{00000000-0000-0000-0000-000000000000}"/>
  <bookViews>
    <workbookView xWindow="-98" yWindow="-98" windowWidth="21795" windowHeight="12975" activeTab="5" xr2:uid="{00000000-000D-0000-FFFF-FFFF00000000}"/>
  </bookViews>
  <sheets>
    <sheet name="规则说明" sheetId="1" r:id="rId1"/>
    <sheet name="升级经验区间" sheetId="2" r:id="rId2"/>
    <sheet name="逐级经验明细" sheetId="3" r:id="rId3"/>
    <sheet name="经验计算器" sheetId="4" r:id="rId4"/>
    <sheet name="校验样例" sheetId="5" r:id="rId5"/>
    <sheet name="Codex配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E4" i="4"/>
  <c r="E5" i="4" s="1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E4" i="3"/>
  <c r="C4" i="3"/>
  <c r="D5" i="3" s="1"/>
  <c r="B4" i="3"/>
  <c r="E6" i="4" l="1"/>
  <c r="E7" i="4"/>
  <c r="E9" i="4"/>
  <c r="H4" i="3"/>
  <c r="G4" i="3"/>
  <c r="F4" i="3"/>
  <c r="E5" i="3"/>
  <c r="D6" i="3"/>
  <c r="E10" i="4" l="1"/>
  <c r="E11" i="4"/>
  <c r="E12" i="4"/>
  <c r="E13" i="4"/>
  <c r="E14" i="4" s="1"/>
  <c r="F5" i="3"/>
  <c r="G5" i="3"/>
  <c r="H5" i="3"/>
  <c r="E6" i="3"/>
  <c r="D7" i="3"/>
  <c r="F6" i="3" l="1"/>
  <c r="G6" i="3"/>
  <c r="H6" i="3"/>
  <c r="E7" i="3"/>
  <c r="D8" i="3"/>
  <c r="F7" i="3" l="1"/>
  <c r="G7" i="3"/>
  <c r="H7" i="3"/>
  <c r="E8" i="3"/>
  <c r="D9" i="3"/>
  <c r="F8" i="3" l="1"/>
  <c r="G8" i="3"/>
  <c r="H8" i="3"/>
  <c r="E9" i="3"/>
  <c r="D10" i="3"/>
  <c r="F9" i="3" l="1"/>
  <c r="G9" i="3"/>
  <c r="H9" i="3"/>
  <c r="E10" i="3"/>
  <c r="D11" i="3"/>
  <c r="F10" i="3" l="1"/>
  <c r="G10" i="3"/>
  <c r="H10" i="3"/>
  <c r="E11" i="3"/>
  <c r="D12" i="3"/>
  <c r="F11" i="3" l="1"/>
  <c r="G11" i="3"/>
  <c r="H11" i="3"/>
  <c r="E12" i="3"/>
  <c r="D13" i="3"/>
  <c r="F12" i="3" l="1"/>
  <c r="G12" i="3"/>
  <c r="H12" i="3"/>
  <c r="E13" i="3"/>
  <c r="D14" i="3"/>
  <c r="F13" i="3" l="1"/>
  <c r="G13" i="3"/>
  <c r="H13" i="3"/>
  <c r="D15" i="3"/>
  <c r="E14" i="3"/>
  <c r="D16" i="3" l="1"/>
  <c r="E15" i="3"/>
  <c r="G14" i="3"/>
  <c r="F14" i="3"/>
  <c r="H14" i="3"/>
  <c r="E16" i="3" l="1"/>
  <c r="D17" i="3"/>
  <c r="F15" i="3"/>
  <c r="G15" i="3"/>
  <c r="H15" i="3"/>
  <c r="H16" i="3" l="1"/>
  <c r="F16" i="3"/>
  <c r="G16" i="3"/>
  <c r="E17" i="3"/>
  <c r="D18" i="3"/>
  <c r="F17" i="3" l="1"/>
  <c r="G17" i="3"/>
  <c r="H17" i="3"/>
  <c r="D19" i="3"/>
  <c r="E18" i="3"/>
  <c r="E19" i="3" l="1"/>
  <c r="D20" i="3"/>
  <c r="F18" i="3"/>
  <c r="G18" i="3"/>
  <c r="H18" i="3"/>
  <c r="F19" i="3" l="1"/>
  <c r="H19" i="3"/>
  <c r="G19" i="3"/>
  <c r="E20" i="3"/>
  <c r="D21" i="3"/>
  <c r="G20" i="3" l="1"/>
  <c r="F20" i="3"/>
  <c r="H20" i="3"/>
  <c r="D22" i="3"/>
  <c r="E21" i="3"/>
  <c r="E22" i="3" l="1"/>
  <c r="D23" i="3"/>
  <c r="F21" i="3"/>
  <c r="G21" i="3"/>
  <c r="H21" i="3"/>
  <c r="F22" i="3" l="1"/>
  <c r="G22" i="3"/>
  <c r="H22" i="3"/>
  <c r="D24" i="3"/>
  <c r="E23" i="3"/>
  <c r="E24" i="3" l="1"/>
  <c r="D25" i="3"/>
  <c r="F23" i="3"/>
  <c r="G23" i="3"/>
  <c r="H23" i="3"/>
  <c r="F24" i="3" l="1"/>
  <c r="G24" i="3"/>
  <c r="H24" i="3"/>
  <c r="E25" i="3"/>
  <c r="D26" i="3"/>
  <c r="G25" i="3" l="1"/>
  <c r="H25" i="3"/>
  <c r="F25" i="3"/>
  <c r="E26" i="3"/>
  <c r="D27" i="3"/>
  <c r="G26" i="3" l="1"/>
  <c r="F26" i="3"/>
  <c r="H26" i="3"/>
  <c r="E27" i="3"/>
  <c r="D28" i="3"/>
  <c r="F27" i="3" l="1"/>
  <c r="G27" i="3"/>
  <c r="H27" i="3"/>
  <c r="D29" i="3"/>
  <c r="E28" i="3"/>
  <c r="E29" i="3" l="1"/>
  <c r="D30" i="3"/>
  <c r="H28" i="3"/>
  <c r="F28" i="3"/>
  <c r="G28" i="3"/>
  <c r="F29" i="3" l="1"/>
  <c r="G29" i="3"/>
  <c r="H29" i="3"/>
  <c r="E30" i="3"/>
  <c r="D31" i="3"/>
  <c r="G30" i="3" l="1"/>
  <c r="H30" i="3"/>
  <c r="F30" i="3"/>
  <c r="E31" i="3"/>
  <c r="D32" i="3"/>
  <c r="F31" i="3" l="1"/>
  <c r="G31" i="3"/>
  <c r="H31" i="3"/>
  <c r="D33" i="3"/>
  <c r="E32" i="3"/>
  <c r="E33" i="3" l="1"/>
  <c r="D34" i="3"/>
  <c r="G32" i="3"/>
  <c r="H32" i="3"/>
  <c r="F32" i="3"/>
  <c r="G33" i="3" l="1"/>
  <c r="H33" i="3"/>
  <c r="F33" i="3"/>
  <c r="E34" i="3"/>
  <c r="D35" i="3"/>
  <c r="F34" i="3" l="1"/>
  <c r="G34" i="3"/>
  <c r="H34" i="3"/>
  <c r="E35" i="3"/>
  <c r="D36" i="3"/>
  <c r="F35" i="3" l="1"/>
  <c r="H35" i="3"/>
  <c r="G35" i="3"/>
  <c r="E36" i="3"/>
  <c r="D37" i="3"/>
  <c r="F36" i="3" l="1"/>
  <c r="G36" i="3"/>
  <c r="H36" i="3"/>
  <c r="E37" i="3"/>
  <c r="D38" i="3"/>
  <c r="H37" i="3" l="1"/>
  <c r="F37" i="3"/>
  <c r="G37" i="3"/>
  <c r="E38" i="3"/>
  <c r="D39" i="3"/>
  <c r="F38" i="3" l="1"/>
  <c r="H38" i="3"/>
  <c r="G38" i="3"/>
  <c r="E39" i="3"/>
  <c r="D40" i="3"/>
  <c r="F39" i="3" l="1"/>
  <c r="G39" i="3"/>
  <c r="H39" i="3"/>
  <c r="E40" i="3"/>
  <c r="D41" i="3"/>
  <c r="F40" i="3" l="1"/>
  <c r="G40" i="3"/>
  <c r="H40" i="3"/>
  <c r="E41" i="3"/>
  <c r="D42" i="3"/>
  <c r="F41" i="3" l="1"/>
  <c r="G41" i="3"/>
  <c r="H41" i="3"/>
  <c r="E42" i="3"/>
  <c r="D43" i="3"/>
  <c r="F42" i="3" l="1"/>
  <c r="G42" i="3"/>
  <c r="H42" i="3"/>
  <c r="E43" i="3"/>
  <c r="D44" i="3"/>
  <c r="F43" i="3" l="1"/>
  <c r="G43" i="3"/>
  <c r="H43" i="3"/>
  <c r="E44" i="3"/>
  <c r="D45" i="3"/>
  <c r="F44" i="3" l="1"/>
  <c r="G44" i="3"/>
  <c r="H44" i="3"/>
  <c r="E45" i="3"/>
  <c r="D46" i="3"/>
  <c r="F45" i="3" l="1"/>
  <c r="G45" i="3"/>
  <c r="H45" i="3"/>
  <c r="E46" i="3"/>
  <c r="D47" i="3"/>
  <c r="F46" i="3" l="1"/>
  <c r="G46" i="3"/>
  <c r="H46" i="3"/>
  <c r="E47" i="3"/>
  <c r="D48" i="3"/>
  <c r="F47" i="3" l="1"/>
  <c r="G47" i="3"/>
  <c r="H47" i="3"/>
  <c r="E48" i="3"/>
  <c r="D49" i="3"/>
  <c r="F48" i="3" l="1"/>
  <c r="G48" i="3"/>
  <c r="H48" i="3"/>
  <c r="E49" i="3"/>
  <c r="D50" i="3"/>
  <c r="F49" i="3" l="1"/>
  <c r="G49" i="3"/>
  <c r="H49" i="3"/>
  <c r="E50" i="3"/>
  <c r="D51" i="3"/>
  <c r="F50" i="3" l="1"/>
  <c r="G50" i="3"/>
  <c r="H50" i="3"/>
  <c r="E51" i="3"/>
  <c r="D52" i="3"/>
  <c r="F51" i="3" l="1"/>
  <c r="G51" i="3"/>
  <c r="H51" i="3"/>
  <c r="E52" i="3"/>
  <c r="D53" i="3"/>
  <c r="F52" i="3" l="1"/>
  <c r="G52" i="3"/>
  <c r="H52" i="3"/>
  <c r="E53" i="3"/>
  <c r="D54" i="3"/>
  <c r="F53" i="3" l="1"/>
  <c r="G53" i="3"/>
  <c r="H53" i="3"/>
  <c r="E54" i="3"/>
  <c r="D55" i="3"/>
  <c r="F54" i="3" l="1"/>
  <c r="G54" i="3"/>
  <c r="H54" i="3"/>
  <c r="E55" i="3"/>
  <c r="D56" i="3"/>
  <c r="F55" i="3" l="1"/>
  <c r="G55" i="3"/>
  <c r="H55" i="3"/>
  <c r="E56" i="3"/>
  <c r="D57" i="3"/>
  <c r="F56" i="3" l="1"/>
  <c r="G56" i="3"/>
  <c r="H56" i="3"/>
  <c r="E57" i="3"/>
  <c r="D58" i="3"/>
  <c r="F57" i="3" l="1"/>
  <c r="G57" i="3"/>
  <c r="H57" i="3"/>
  <c r="E58" i="3"/>
  <c r="D59" i="3"/>
  <c r="F58" i="3" l="1"/>
  <c r="G58" i="3"/>
  <c r="H58" i="3"/>
  <c r="E59" i="3"/>
  <c r="D60" i="3"/>
  <c r="F59" i="3" l="1"/>
  <c r="G59" i="3"/>
  <c r="H59" i="3"/>
  <c r="E60" i="3"/>
  <c r="D61" i="3"/>
  <c r="F60" i="3" l="1"/>
  <c r="G60" i="3"/>
  <c r="H60" i="3"/>
  <c r="E61" i="3"/>
  <c r="D62" i="3"/>
  <c r="F61" i="3" l="1"/>
  <c r="G61" i="3"/>
  <c r="H61" i="3"/>
  <c r="E62" i="3"/>
  <c r="D63" i="3"/>
  <c r="E63" i="3" s="1"/>
  <c r="F62" i="3" l="1"/>
  <c r="G62" i="3"/>
  <c r="H62" i="3"/>
  <c r="F63" i="3"/>
  <c r="H63" i="3"/>
  <c r="G63" i="3"/>
</calcChain>
</file>

<file path=xl/sharedStrings.xml><?xml version="1.0" encoding="utf-8"?>
<sst xmlns="http://schemas.openxmlformats.org/spreadsheetml/2006/main" count="320" uniqueCount="221">
  <si>
    <t>YuanStar 经验星曜计算规则（Phase 0.6A）</t>
  </si>
  <si>
    <t>规则项</t>
  </si>
  <si>
    <t>确认值/公式</t>
  </si>
  <si>
    <t>适用范围</t>
  </si>
  <si>
    <t>Codex实现口径</t>
  </si>
  <si>
    <t>是否影响需求显示</t>
  </si>
  <si>
    <t>是否影响背包差值</t>
  </si>
  <si>
    <t>状态</t>
  </si>
  <si>
    <t>备注</t>
  </si>
  <si>
    <t>白星曜经验值</t>
  </si>
  <si>
    <t>全部星石</t>
  </si>
  <si>
    <t>常量 WHITE_EXP=100</t>
  </si>
  <si>
    <t>是</t>
  </si>
  <si>
    <t>已确认</t>
  </si>
  <si>
    <t>紫星曜经验值</t>
  </si>
  <si>
    <t>常量 PURPLE_EXP=500</t>
  </si>
  <si>
    <t>橙星曜经验值</t>
  </si>
  <si>
    <t>常量 ORANGE_EXP=1000</t>
  </si>
  <si>
    <t>否</t>
  </si>
  <si>
    <t>需求展示不出现橙星曜，但现有背包折算时计入</t>
  </si>
  <si>
    <t>主星/辅星差异</t>
  </si>
  <si>
    <t>无差异</t>
  </si>
  <si>
    <t>主星、辅星</t>
  </si>
  <si>
    <t>共用同一逐级经验表</t>
  </si>
  <si>
    <t>品质差异</t>
  </si>
  <si>
    <t>品质不进入经验公式</t>
  </si>
  <si>
    <t>当前经验条进度</t>
  </si>
  <si>
    <t>统一按0计算</t>
  </si>
  <si>
    <t>任意当前等级</t>
  </si>
  <si>
    <t>按该等级完整经验条计算，属于保守最大需求</t>
  </si>
  <si>
    <t>不识别用户当前条内已喂经验</t>
  </si>
  <si>
    <t>目标等级经验条</t>
  </si>
  <si>
    <t>到达目标等级即停止</t>
  </si>
  <si>
    <t>当前等级→目标等级</t>
  </si>
  <si>
    <t>累加当前等级至目标等级-1的经验条</t>
  </si>
  <si>
    <t>目标等级自身经验条不计入</t>
  </si>
  <si>
    <t>星曜投喂粒度</t>
  </si>
  <si>
    <t>100经验</t>
  </si>
  <si>
    <t>需求换算</t>
  </si>
  <si>
    <t>原始需求向上取整到100</t>
  </si>
  <si>
    <t>例如9550→9600</t>
  </si>
  <si>
    <t>需求显示顺序</t>
  </si>
  <si>
    <t>先紫后白</t>
  </si>
  <si>
    <t>需求与缺口</t>
  </si>
  <si>
    <t>紫=整除500；余数按白星曜100结算</t>
  </si>
  <si>
    <t>不显示橙星曜需求</t>
  </si>
  <si>
    <t>突破材料</t>
  </si>
  <si>
    <t>不纳入</t>
  </si>
  <si>
    <t>10/20/30/40/50等节点</t>
  </si>
  <si>
    <t>经验计算连续，突破不重置经验条</t>
  </si>
  <si>
    <t>最高等级</t>
  </si>
  <si>
    <t>目标等级上限60</t>
  </si>
  <si>
    <t>60级经验条15000仅作规则记录，不用于升到60</t>
  </si>
  <si>
    <t>6-24产出</t>
  </si>
  <si>
    <t>每次3个紫星曜</t>
  </si>
  <si>
    <t>缺口换算</t>
  </si>
  <si>
    <t>单次等价1500经验</t>
  </si>
  <si>
    <t>6-24体力</t>
  </si>
  <si>
    <t>每次10体力</t>
  </si>
  <si>
    <t>次数×10</t>
  </si>
  <si>
    <t>6-24次数</t>
  </si>
  <si>
    <t>向上取整(缺口经验/1500)</t>
  </si>
  <si>
    <t>白星曜余量先按经验折算，再按整次关卡向上取整</t>
  </si>
  <si>
    <t>例：3紫+1白=1600经验→2次→20体力</t>
  </si>
  <si>
    <t>核心计算公式</t>
  </si>
  <si>
    <t>原始经验需求</t>
  </si>
  <si>
    <t>SUM(当前等级经验条 … 目标等级-1经验条)</t>
  </si>
  <si>
    <t>不考虑当前条内已有进度</t>
  </si>
  <si>
    <t>边界说明</t>
  </si>
  <si>
    <t>最小可投喂经验</t>
  </si>
  <si>
    <t>ROUNDUP(原始经验需求 / 100, 0) × 100</t>
  </si>
  <si>
    <t>星曜最小粒度为100经验</t>
  </si>
  <si>
    <t>• 当前等级=目标等级时，所有需求均为0。</t>
  </si>
  <si>
    <t>需求紫星曜</t>
  </si>
  <si>
    <t>INT(最小可投喂经验 / 500)</t>
  </si>
  <si>
    <t>优先使用紫星曜</t>
  </si>
  <si>
    <t>• 当前条进度未知，统一按0/该级经验条计算，因此结果是保守最大值。</t>
  </si>
  <si>
    <t>需求白星曜</t>
  </si>
  <si>
    <t>MOD(最小可投喂经验, 500) / 100</t>
  </si>
  <si>
    <t>仅承担紫星曜余数</t>
  </si>
  <si>
    <t>• 因投喂单位最小为白星曜100经验，原始经验可能出现50经验尾数，需向上取整。</t>
  </si>
  <si>
    <t>背包已有经验</t>
  </si>
  <si>
    <t>橙×1000 + 紫×500 + 白×100</t>
  </si>
  <si>
    <t>橙星曜只在此处参与</t>
  </si>
  <si>
    <t>• 向上取整造成的溢出进入目标等级经验条，但系统不持久追踪该进度。</t>
  </si>
  <si>
    <t>缺口经验</t>
  </si>
  <si>
    <t>MAX(0, 最小可投喂经验 - 背包已有经验)</t>
  </si>
  <si>
    <t>不显示负数</t>
  </si>
  <si>
    <t>• 60级经验条上限15000为真实规则记录，但目标上限60，不用于继续升级。</t>
  </si>
  <si>
    <t>6-24折算紫星曜</t>
  </si>
  <si>
    <t>ROUNDUP(缺口经验 / 500, 0)</t>
  </si>
  <si>
    <t>白星曜余数向上折算到紫星曜</t>
  </si>
  <si>
    <t>ROUNDUP(缺口经验 / 1500, 0)</t>
  </si>
  <si>
    <t>每次3紫=1500经验</t>
  </si>
  <si>
    <t>6-24次数 × 10</t>
  </si>
  <si>
    <t>升级经验区间规则</t>
  </si>
  <si>
    <t>区间</t>
  </si>
  <si>
    <t>当前等级起</t>
  </si>
  <si>
    <t>当前等级止</t>
  </si>
  <si>
    <t>经验条规则</t>
  </si>
  <si>
    <t>首级经验</t>
  </si>
  <si>
    <t>递增步长</t>
  </si>
  <si>
    <t>确认说明</t>
  </si>
  <si>
    <t>1—10</t>
  </si>
  <si>
    <t>等差递增</t>
  </si>
  <si>
    <t>1级100，逐级+50，10级550</t>
  </si>
  <si>
    <t>11—20</t>
  </si>
  <si>
    <t>11级600，逐级+100，20级1500</t>
  </si>
  <si>
    <t>21—30</t>
  </si>
  <si>
    <t>21级1600，逐级+100，30级2500</t>
  </si>
  <si>
    <t>31—35</t>
  </si>
  <si>
    <t>固定值</t>
  </si>
  <si>
    <t>每级经验条3500</t>
  </si>
  <si>
    <t>36—40</t>
  </si>
  <si>
    <t>每级经验条5000</t>
  </si>
  <si>
    <t>41—45</t>
  </si>
  <si>
    <t>每级经验条6000</t>
  </si>
  <si>
    <t>46—50</t>
  </si>
  <si>
    <t>每级经验条8000</t>
  </si>
  <si>
    <t>51—55</t>
  </si>
  <si>
    <t>每级经验条10000</t>
  </si>
  <si>
    <t>56—60</t>
  </si>
  <si>
    <t>每级经验条15000</t>
  </si>
  <si>
    <t>1—60级逐级经验明细</t>
  </si>
  <si>
    <t>当前等级</t>
  </si>
  <si>
    <t>下一等级</t>
  </si>
  <si>
    <t>当前等级经验条上限</t>
  </si>
  <si>
    <t>从1级到达当前等级的原始经验</t>
  </si>
  <si>
    <t>溢出进入当前等级经验条</t>
  </si>
  <si>
    <t>累计紫星曜</t>
  </si>
  <si>
    <t>累计白星曜</t>
  </si>
  <si>
    <t>说明</t>
  </si>
  <si>
    <t>起始等级</t>
  </si>
  <si>
    <t>关键等级节点；到达10级时不计入10级经验条</t>
  </si>
  <si>
    <t>关键等级节点；到达20级时不计入20级经验条</t>
  </si>
  <si>
    <t>关键等级节点；到达30级时不计入30级经验条</t>
  </si>
  <si>
    <t>关键等级节点；到达40级时不计入40级经验条</t>
  </si>
  <si>
    <t>关键等级节点；到达50级时不计入50级经验条</t>
  </si>
  <si>
    <t>关键等级节点；到达60级时不计入60级经验条；60级经验条15000仅作规则记录</t>
  </si>
  <si>
    <t>经验星曜需求与6-24体力计算器</t>
  </si>
  <si>
    <t>输入项</t>
  </si>
  <si>
    <t>数值</t>
  </si>
  <si>
    <t>计算结果</t>
  </si>
  <si>
    <t>按当前条0进度计算；累加当前等级至目标等级-1</t>
  </si>
  <si>
    <t>目标等级</t>
  </si>
  <si>
    <t>向上取整到100</t>
  </si>
  <si>
    <t>背包橙星曜</t>
  </si>
  <si>
    <t>优先紫星曜</t>
  </si>
  <si>
    <t>背包紫星曜</t>
  </si>
  <si>
    <t>只承担500以内余数</t>
  </si>
  <si>
    <t>背包白星曜</t>
  </si>
  <si>
    <t>橙×1000+紫×500+白×100</t>
  </si>
  <si>
    <t>最低为0</t>
  </si>
  <si>
    <t>缺口紫星曜</t>
  </si>
  <si>
    <t>缺口按紫+白展示</t>
  </si>
  <si>
    <t>缺口白星曜</t>
  </si>
  <si>
    <t>白星曜余数向上折算</t>
  </si>
  <si>
    <t>口径提示：当前经验条一律按0计算，因此结果是保守最大需求；突破材料不纳入。因星曜最小投喂单位为100经验，原始需求有50经验尾数时会向上取整。</t>
  </si>
  <si>
    <t>已确认等级区间校验样例</t>
  </si>
  <si>
    <t>原始经验</t>
  </si>
  <si>
    <t>紫星曜</t>
  </si>
  <si>
    <t>白星曜</t>
  </si>
  <si>
    <t>溢出经验</t>
  </si>
  <si>
    <t>体力</t>
  </si>
  <si>
    <t>验证说明</t>
  </si>
  <si>
    <t>用户确认：1→10原始经验2700；到达10级时经验条0/550</t>
  </si>
  <si>
    <t>用户确认：原始9550；按百位投喂需9600；到达20级时溢出50/1500</t>
  </si>
  <si>
    <t>根据已确认逐级规则展开</t>
  </si>
  <si>
    <t>截图确认：50级经验条8000；51—55为10000；56—60为15000</t>
  </si>
  <si>
    <t>全程保守最大需求，目标60级</t>
  </si>
  <si>
    <t>截图与用户口径对应</t>
  </si>
  <si>
    <t>bae2febb837ea8faff02db2bc3d09cd5.jpg</t>
  </si>
  <si>
    <t>50级</t>
  </si>
  <si>
    <t>50/8000</t>
  </si>
  <si>
    <t>确认46—50级经验条为8000</t>
  </si>
  <si>
    <t>5845e43ed8c55952f18a51126767495e.jpg</t>
  </si>
  <si>
    <t>60级</t>
  </si>
  <si>
    <t>50/15000</t>
  </si>
  <si>
    <t>确认56—60级经验条为15000</t>
  </si>
  <si>
    <t>203ceb4d4e6358117b5df72e3f0ebd62.jpg</t>
  </si>
  <si>
    <t>1→10级</t>
  </si>
  <si>
    <t>目标10级，0/550</t>
  </si>
  <si>
    <t>确认10级经验条为550；到达10级不需填满10级条</t>
  </si>
  <si>
    <t>Codex可读取的标准化配置</t>
  </si>
  <si>
    <t>配置键</t>
  </si>
  <si>
    <t>值</t>
  </si>
  <si>
    <t>数据类型</t>
  </si>
  <si>
    <t>用途</t>
  </si>
  <si>
    <t>max_level</t>
  </si>
  <si>
    <t>int</t>
  </si>
  <si>
    <t>计划等级上限</t>
  </si>
  <si>
    <t>confirmed</t>
  </si>
  <si>
    <t>white_exp</t>
  </si>
  <si>
    <t>purple_exp</t>
  </si>
  <si>
    <t>orange_exp</t>
  </si>
  <si>
    <t>橙星曜经验值，仅背包折算</t>
  </si>
  <si>
    <t>requirement_display</t>
  </si>
  <si>
    <t>purple,white</t>
  </si>
  <si>
    <t>list[str]</t>
  </si>
  <si>
    <t>需求不显示橙星曜</t>
  </si>
  <si>
    <t>include_orange_in_owned_exp</t>
  </si>
  <si>
    <t>bool</t>
  </si>
  <si>
    <t>背包差值折算</t>
  </si>
  <si>
    <t>assume_current_bar_progress</t>
  </si>
  <si>
    <t>忽略实际条内进度，按最大需求</t>
  </si>
  <si>
    <t>include_breakthrough_materials</t>
  </si>
  <si>
    <t>突破材料不纳入</t>
  </si>
  <si>
    <t>stage_6_24_purple_yield</t>
  </si>
  <si>
    <t>单次产出紫星曜</t>
  </si>
  <si>
    <t>stage_6_24_exp_yield</t>
  </si>
  <si>
    <t>单次等价经验</t>
  </si>
  <si>
    <t>derived</t>
  </si>
  <si>
    <t>stage_6_24_stamina_cost</t>
  </si>
  <si>
    <t>单次体力</t>
  </si>
  <si>
    <t>round_exp_to</t>
  </si>
  <si>
    <t>最小投喂粒度</t>
  </si>
  <si>
    <t>level_exp_table</t>
  </si>
  <si>
    <t>逐级经验明细!A4:C63</t>
  </si>
  <si>
    <t>range</t>
  </si>
  <si>
    <t>当前等级与经验条上限</t>
  </si>
  <si>
    <r>
      <rPr>
        <sz val="11"/>
        <rFont val="微软雅黑"/>
        <family val="2"/>
        <charset val="134"/>
      </rPr>
      <t>橙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紫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蓝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绿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白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</si>
</sst>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26233A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6B4F00"/>
      <name val="Carlito"/>
    </font>
    <font>
      <b/>
      <sz val="10"/>
      <color rgb="FF26233A"/>
      <name val="Microsoft YaHei"/>
      <family val="2"/>
      <charset val="134"/>
    </font>
    <font>
      <sz val="10"/>
      <color rgb="FF26233A"/>
      <name val="Microsoft YaHei"/>
      <family val="2"/>
      <charset val="134"/>
    </font>
    <font>
      <b/>
      <sz val="10"/>
      <color rgb="FF6B4F0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4F46A5"/>
      </patternFill>
    </fill>
    <fill>
      <patternFill patternType="solid">
        <fgColor rgb="FF6D5BD0"/>
      </patternFill>
    </fill>
    <fill>
      <patternFill patternType="solid">
        <fgColor rgb="FFE8F5E9"/>
      </patternFill>
    </fill>
    <fill>
      <patternFill patternType="solid">
        <fgColor rgb="FFEDE9FE"/>
      </patternFill>
    </fill>
    <fill>
      <patternFill patternType="solid">
        <fgColor rgb="FFFFF7D6"/>
      </patternFill>
    </fill>
    <fill>
      <patternFill patternType="solid">
        <fgColor rgb="FFFFFDF2"/>
      </patternFill>
    </fill>
    <fill>
      <patternFill patternType="solid">
        <fgColor rgb="FFF6F4FF"/>
      </patternFill>
    </fill>
  </fills>
  <borders count="10">
    <border>
      <left/>
      <right/>
      <top/>
      <bottom/>
      <diagonal/>
    </border>
    <border>
      <left style="thin">
        <color rgb="FFD8D3E8"/>
      </left>
      <right/>
      <top style="thin">
        <color rgb="FFD8D3E8"/>
      </top>
      <bottom/>
      <diagonal/>
    </border>
    <border>
      <left/>
      <right/>
      <top style="thin">
        <color rgb="FFD8D3E8"/>
      </top>
      <bottom/>
      <diagonal/>
    </border>
    <border>
      <left/>
      <right style="thin">
        <color rgb="FFD8D3E8"/>
      </right>
      <top style="thin">
        <color rgb="FFD8D3E8"/>
      </top>
      <bottom/>
      <diagonal/>
    </border>
    <border>
      <left style="thin">
        <color rgb="FFD8D3E8"/>
      </left>
      <right/>
      <top/>
      <bottom/>
      <diagonal/>
    </border>
    <border>
      <left/>
      <right style="thin">
        <color rgb="FFD8D3E8"/>
      </right>
      <top/>
      <bottom/>
      <diagonal/>
    </border>
    <border>
      <left style="thin">
        <color rgb="FFD8D3E8"/>
      </left>
      <right/>
      <top/>
      <bottom style="thin">
        <color rgb="FFD8D3E8"/>
      </bottom>
      <diagonal/>
    </border>
    <border>
      <left/>
      <right/>
      <top/>
      <bottom style="thin">
        <color rgb="FFD8D3E8"/>
      </bottom>
      <diagonal/>
    </border>
    <border>
      <left/>
      <right style="thin">
        <color rgb="FFD8D3E8"/>
      </right>
      <top/>
      <bottom style="thin">
        <color rgb="FFD8D3E8"/>
      </bottom>
      <diagonal/>
    </border>
    <border>
      <left/>
      <right/>
      <top/>
      <bottom style="thin">
        <color rgb="FFECE9F5"/>
      </bottom>
      <diagonal/>
    </border>
  </borders>
  <cellStyleXfs count="2">
    <xf numFmtId="0" fontId="0" fillId="0" borderId="0"/>
    <xf numFmtId="0" fontId="10" fillId="0" borderId="0"/>
  </cellStyleXfs>
  <cellXfs count="58">
    <xf numFmtId="0" fontId="0" fillId="0" borderId="0" xfId="0"/>
    <xf numFmtId="0" fontId="2" fillId="3" borderId="0" xfId="1" applyFont="1" applyFill="1" applyAlignment="1">
      <alignment horizontal="center" wrapText="1"/>
    </xf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0" borderId="2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4" borderId="2" xfId="1" applyFont="1" applyFill="1" applyBorder="1" applyAlignment="1">
      <alignment vertical="top" wrapText="1"/>
    </xf>
    <xf numFmtId="0" fontId="0" fillId="4" borderId="0" xfId="1" applyFont="1" applyFill="1" applyAlignment="1">
      <alignment vertical="top" wrapText="1"/>
    </xf>
    <xf numFmtId="0" fontId="0" fillId="4" borderId="7" xfId="1" applyFont="1" applyFill="1" applyBorder="1" applyAlignment="1">
      <alignment vertical="top" wrapText="1"/>
    </xf>
    <xf numFmtId="0" fontId="0" fillId="0" borderId="7" xfId="1" applyFont="1" applyBorder="1" applyAlignment="1">
      <alignment wrapText="1"/>
    </xf>
    <xf numFmtId="0" fontId="2" fillId="3" borderId="0" xfId="1" applyFont="1" applyFill="1" applyAlignment="1">
      <alignment horizontal="center"/>
    </xf>
    <xf numFmtId="0" fontId="0" fillId="0" borderId="2" xfId="1" applyFont="1" applyBorder="1"/>
    <xf numFmtId="0" fontId="0" fillId="0" borderId="7" xfId="1" applyFont="1" applyBorder="1"/>
    <xf numFmtId="0" fontId="0" fillId="0" borderId="2" xfId="1" applyFont="1" applyBorder="1" applyAlignment="1">
      <alignment wrapText="1"/>
    </xf>
    <xf numFmtId="0" fontId="0" fillId="0" borderId="3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0" xfId="1" applyFont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0" xfId="1" applyFont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0" fillId="7" borderId="0" xfId="1" applyFont="1" applyFill="1"/>
    <xf numFmtId="0" fontId="4" fillId="0" borderId="0" xfId="1" applyFont="1"/>
    <xf numFmtId="0" fontId="4" fillId="0" borderId="7" xfId="1" applyFont="1" applyBorder="1"/>
    <xf numFmtId="0" fontId="0" fillId="8" borderId="0" xfId="1" applyFont="1" applyFill="1"/>
    <xf numFmtId="0" fontId="0" fillId="8" borderId="7" xfId="1" applyFont="1" applyFill="1" applyBorder="1"/>
    <xf numFmtId="0" fontId="6" fillId="6" borderId="0" xfId="1" applyFont="1" applyFill="1" applyAlignment="1">
      <alignment wrapText="1"/>
    </xf>
    <xf numFmtId="0" fontId="0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0" xfId="1" applyFont="1" applyFill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8" fillId="0" borderId="1" xfId="1" applyFont="1" applyBorder="1" applyAlignment="1">
      <alignment vertical="center" wrapText="1"/>
    </xf>
    <xf numFmtId="0" fontId="8" fillId="0" borderId="4" xfId="1" applyFont="1" applyBorder="1" applyAlignment="1">
      <alignment vertical="center" wrapText="1"/>
    </xf>
    <xf numFmtId="0" fontId="8" fillId="0" borderId="6" xfId="1" applyFont="1" applyBorder="1" applyAlignment="1">
      <alignment vertical="center" wrapText="1"/>
    </xf>
    <xf numFmtId="0" fontId="7" fillId="0" borderId="0" xfId="1" applyFont="1" applyAlignment="1">
      <alignment vertical="center" wrapText="1"/>
    </xf>
    <xf numFmtId="0" fontId="7" fillId="0" borderId="7" xfId="1" applyFont="1" applyBorder="1" applyAlignment="1">
      <alignment vertical="center" wrapText="1"/>
    </xf>
    <xf numFmtId="0" fontId="7" fillId="3" borderId="0" xfId="1" applyFont="1" applyFill="1" applyAlignment="1">
      <alignment horizontal="center" vertical="center"/>
    </xf>
    <xf numFmtId="0" fontId="8" fillId="0" borderId="9" xfId="1" applyFont="1" applyBorder="1" applyAlignment="1">
      <alignment vertical="center"/>
    </xf>
    <xf numFmtId="0" fontId="7" fillId="6" borderId="0" xfId="1" applyFont="1" applyFill="1" applyAlignment="1">
      <alignment vertical="center" wrapText="1"/>
    </xf>
    <xf numFmtId="0" fontId="8" fillId="0" borderId="1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8" fillId="0" borderId="6" xfId="1" applyFont="1" applyBorder="1" applyAlignment="1">
      <alignment vertical="center"/>
    </xf>
    <xf numFmtId="0" fontId="8" fillId="0" borderId="7" xfId="1" applyFont="1" applyBorder="1" applyAlignment="1">
      <alignment vertical="center"/>
    </xf>
    <xf numFmtId="1" fontId="0" fillId="0" borderId="0" xfId="1" applyNumberFormat="1" applyFont="1"/>
    <xf numFmtId="0" fontId="7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7" fillId="5" borderId="0" xfId="1" applyFont="1" applyFill="1" applyAlignment="1">
      <alignment vertical="center"/>
    </xf>
    <xf numFmtId="0" fontId="3" fillId="5" borderId="0" xfId="1" applyFont="1" applyFill="1"/>
    <xf numFmtId="0" fontId="3" fillId="6" borderId="0" xfId="1" applyFont="1" applyFill="1"/>
    <xf numFmtId="0" fontId="5" fillId="2" borderId="0" xfId="1" applyFont="1" applyFill="1" applyAlignment="1">
      <alignment horizontal="center"/>
    </xf>
    <xf numFmtId="1" fontId="7" fillId="2" borderId="0" xfId="1" applyNumberFormat="1" applyFont="1" applyFill="1" applyAlignment="1">
      <alignment horizontal="center" vertical="center"/>
    </xf>
    <xf numFmtId="1" fontId="5" fillId="2" borderId="0" xfId="1" applyNumberFormat="1" applyFont="1" applyFill="1" applyAlignment="1">
      <alignment horizontal="center"/>
    </xf>
    <xf numFmtId="0" fontId="9" fillId="6" borderId="0" xfId="1" applyFont="1" applyFill="1" applyAlignment="1">
      <alignment vertical="center" wrapText="1"/>
    </xf>
    <xf numFmtId="0" fontId="6" fillId="6" borderId="0" xfId="1" applyFont="1" applyFill="1" applyAlignment="1">
      <alignment vertical="center" wrapText="1"/>
    </xf>
    <xf numFmtId="0" fontId="14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1">
    <dxf>
      <font>
        <b/>
      </font>
      <fill>
        <patternFill patternType="solid">
          <bgColor rgb="FFF2EE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每级经验条上限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下一等级</c:v>
          </c:tx>
          <c:cat>
            <c:numRef>
              <c:f>逐级经验明细!$A$4:$A$63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逐级经验明细!$B$4:$B$63</c:f>
              <c:numCache>
                <c:formatCode>General</c:formatCode>
                <c:ptCount val="6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A-4ABC-9671-750D7FC01136}"/>
            </c:ext>
          </c:extLst>
        </c:ser>
        <c:ser>
          <c:idx val="1"/>
          <c:order val="1"/>
          <c:tx>
            <c:v>当前等级经验条上限</c:v>
          </c:tx>
          <c:cat>
            <c:numRef>
              <c:f>逐级经验明细!$A$4:$A$63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逐级经验明细!$C$4:$C$63</c:f>
              <c:numCache>
                <c:formatCode>General</c:formatCode>
                <c:ptCount val="60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1000</c:v>
                </c:pt>
                <c:pt idx="15">
                  <c:v>1100</c:v>
                </c:pt>
                <c:pt idx="16">
                  <c:v>1200</c:v>
                </c:pt>
                <c:pt idx="17">
                  <c:v>1300</c:v>
                </c:pt>
                <c:pt idx="18">
                  <c:v>1400</c:v>
                </c:pt>
                <c:pt idx="19">
                  <c:v>1500</c:v>
                </c:pt>
                <c:pt idx="20">
                  <c:v>1600</c:v>
                </c:pt>
                <c:pt idx="21">
                  <c:v>1700</c:v>
                </c:pt>
                <c:pt idx="22">
                  <c:v>1800</c:v>
                </c:pt>
                <c:pt idx="23">
                  <c:v>1900</c:v>
                </c:pt>
                <c:pt idx="24">
                  <c:v>2000</c:v>
                </c:pt>
                <c:pt idx="25">
                  <c:v>2100</c:v>
                </c:pt>
                <c:pt idx="26">
                  <c:v>2200</c:v>
                </c:pt>
                <c:pt idx="27">
                  <c:v>2300</c:v>
                </c:pt>
                <c:pt idx="28">
                  <c:v>2400</c:v>
                </c:pt>
                <c:pt idx="29">
                  <c:v>2500</c:v>
                </c:pt>
                <c:pt idx="30">
                  <c:v>3500</c:v>
                </c:pt>
                <c:pt idx="31">
                  <c:v>3500</c:v>
                </c:pt>
                <c:pt idx="32">
                  <c:v>3500</c:v>
                </c:pt>
                <c:pt idx="33">
                  <c:v>3500</c:v>
                </c:pt>
                <c:pt idx="34">
                  <c:v>3500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  <c:pt idx="40">
                  <c:v>6000</c:v>
                </c:pt>
                <c:pt idx="41">
                  <c:v>6000</c:v>
                </c:pt>
                <c:pt idx="42">
                  <c:v>6000</c:v>
                </c:pt>
                <c:pt idx="43">
                  <c:v>6000</c:v>
                </c:pt>
                <c:pt idx="44">
                  <c:v>6000</c:v>
                </c:pt>
                <c:pt idx="45">
                  <c:v>8000</c:v>
                </c:pt>
                <c:pt idx="46">
                  <c:v>8000</c:v>
                </c:pt>
                <c:pt idx="47">
                  <c:v>8000</c:v>
                </c:pt>
                <c:pt idx="48">
                  <c:v>8000</c:v>
                </c:pt>
                <c:pt idx="49">
                  <c:v>8000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15000</c:v>
                </c:pt>
                <c:pt idx="56">
                  <c:v>15000</c:v>
                </c:pt>
                <c:pt idx="57">
                  <c:v>15000</c:v>
                </c:pt>
                <c:pt idx="58">
                  <c:v>15000</c:v>
                </c:pt>
                <c:pt idx="59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A-4ABC-9671-750D7FC01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rienceIntervals" displayName="ExperienceIntervals" ref="A3:G12">
  <tableColumns count="7">
    <tableColumn id="1" xr3:uid="{00000000-0010-0000-0000-000001000000}" name="区间"/>
    <tableColumn id="2" xr3:uid="{00000000-0010-0000-0000-000002000000}" name="当前等级起"/>
    <tableColumn id="3" xr3:uid="{00000000-0010-0000-0000-000003000000}" name="当前等级止"/>
    <tableColumn id="4" xr3:uid="{00000000-0010-0000-0000-000004000000}" name="经验条规则"/>
    <tableColumn id="5" xr3:uid="{00000000-0010-0000-0000-000005000000}" name="首级经验"/>
    <tableColumn id="6" xr3:uid="{00000000-0010-0000-0000-000006000000}" name="递增步长"/>
    <tableColumn id="7" xr3:uid="{00000000-0010-0000-0000-000007000000}" name="确认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velExperienceTable" displayName="LevelExperienceTable" ref="A3:I63">
  <tableColumns count="9">
    <tableColumn id="1" xr3:uid="{00000000-0010-0000-0100-000001000000}" name="当前等级"/>
    <tableColumn id="2" xr3:uid="{00000000-0010-0000-0100-000002000000}" name="下一等级"/>
    <tableColumn id="3" xr3:uid="{00000000-0010-0000-0100-000003000000}" name="当前等级经验条上限"/>
    <tableColumn id="4" xr3:uid="{00000000-0010-0000-0100-000004000000}" name="从1级到达当前等级的原始经验"/>
    <tableColumn id="5" xr3:uid="{00000000-0010-0000-0100-000005000000}" name="最小可投喂经验"/>
    <tableColumn id="6" xr3:uid="{00000000-0010-0000-0100-000006000000}" name="溢出进入当前等级经验条"/>
    <tableColumn id="7" xr3:uid="{00000000-0010-0000-0100-000007000000}" name="累计紫星曜"/>
    <tableColumn id="8" xr3:uid="{00000000-0010-0000-0100-000008000000}" name="累计白星曜"/>
    <tableColumn id="9" xr3:uid="{00000000-0010-0000-0100-000009000000}" name="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idationExamples" displayName="ValidationExamples" ref="A3:J11">
  <tableColumns count="10">
    <tableColumn id="1" xr3:uid="{00000000-0010-0000-0200-000001000000}" name="当前等级"/>
    <tableColumn id="2" xr3:uid="{00000000-0010-0000-0200-000002000000}" name="目标等级"/>
    <tableColumn id="3" xr3:uid="{00000000-0010-0000-0200-000003000000}" name="原始经验"/>
    <tableColumn id="4" xr3:uid="{00000000-0010-0000-0200-000004000000}" name="最小可投喂经验"/>
    <tableColumn id="5" xr3:uid="{00000000-0010-0000-0200-000005000000}" name="紫星曜"/>
    <tableColumn id="6" xr3:uid="{00000000-0010-0000-0200-000006000000}" name="白星曜"/>
    <tableColumn id="7" xr3:uid="{00000000-0010-0000-0200-000007000000}" name="溢出经验"/>
    <tableColumn id="8" xr3:uid="{00000000-0010-0000-0200-000008000000}" name="6-24次数"/>
    <tableColumn id="9" xr3:uid="{00000000-0010-0000-0200-000009000000}" name="体力"/>
    <tableColumn id="10" xr3:uid="{00000000-0010-0000-0200-00000A000000}" name="验证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dexConfigTable" displayName="CodexConfigTable" ref="A3:E16">
  <tableColumns count="5">
    <tableColumn id="1" xr3:uid="{00000000-0010-0000-0300-000001000000}" name="配置键"/>
    <tableColumn id="2" xr3:uid="{00000000-0010-0000-0300-000002000000}" name="值"/>
    <tableColumn id="3" xr3:uid="{00000000-0010-0000-0300-000003000000}" name="数据类型"/>
    <tableColumn id="4" xr3:uid="{00000000-0010-0000-0300-000004000000}" name="用途"/>
    <tableColumn id="5" xr3:uid="{00000000-0010-0000-0300-000005000000}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opLeftCell="A22" workbookViewId="0">
      <selection activeCell="D13" sqref="D13"/>
    </sheetView>
  </sheetViews>
  <sheetFormatPr defaultRowHeight="13.5"/>
  <cols>
    <col min="1" max="1" width="18" customWidth="1"/>
    <col min="2" max="2" width="26" customWidth="1"/>
    <col min="3" max="3" width="18" customWidth="1"/>
    <col min="4" max="4" width="31" customWidth="1"/>
    <col min="5" max="6" width="15" customWidth="1"/>
    <col min="7" max="7" width="11" customWidth="1"/>
    <col min="8" max="8" width="28" customWidth="1"/>
  </cols>
  <sheetData>
    <row r="1" spans="1:8" ht="15" customHeight="1">
      <c r="A1" s="47" t="s">
        <v>0</v>
      </c>
      <c r="B1" s="48"/>
      <c r="C1" s="48"/>
      <c r="D1" s="48"/>
      <c r="E1" s="48"/>
      <c r="F1" s="48"/>
      <c r="G1" s="48"/>
      <c r="H1" s="48"/>
    </row>
    <row r="2" spans="1:8" ht="13.9">
      <c r="A2" s="33"/>
    </row>
    <row r="3" spans="1:8" ht="27.75">
      <c r="A3" s="3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13.9">
      <c r="A4" s="34" t="s">
        <v>9</v>
      </c>
      <c r="B4" s="5">
        <v>100</v>
      </c>
      <c r="C4" s="5" t="s">
        <v>10</v>
      </c>
      <c r="D4" s="5" t="s">
        <v>11</v>
      </c>
      <c r="E4" s="5" t="s">
        <v>12</v>
      </c>
      <c r="F4" s="5" t="s">
        <v>12</v>
      </c>
      <c r="G4" s="10" t="s">
        <v>13</v>
      </c>
      <c r="H4" s="6"/>
    </row>
    <row r="5" spans="1:8" ht="13.9">
      <c r="A5" s="35" t="s">
        <v>14</v>
      </c>
      <c r="B5" s="4">
        <v>500</v>
      </c>
      <c r="C5" s="4" t="s">
        <v>10</v>
      </c>
      <c r="D5" s="4" t="s">
        <v>15</v>
      </c>
      <c r="E5" s="4" t="s">
        <v>12</v>
      </c>
      <c r="F5" s="4" t="s">
        <v>12</v>
      </c>
      <c r="G5" s="11" t="s">
        <v>13</v>
      </c>
      <c r="H5" s="7"/>
    </row>
    <row r="6" spans="1:8" ht="27">
      <c r="A6" s="35" t="s">
        <v>16</v>
      </c>
      <c r="B6" s="4">
        <v>1000</v>
      </c>
      <c r="C6" s="4" t="s">
        <v>10</v>
      </c>
      <c r="D6" s="4" t="s">
        <v>17</v>
      </c>
      <c r="E6" s="4" t="s">
        <v>18</v>
      </c>
      <c r="F6" s="4" t="s">
        <v>12</v>
      </c>
      <c r="G6" s="11" t="s">
        <v>13</v>
      </c>
      <c r="H6" s="7" t="s">
        <v>19</v>
      </c>
    </row>
    <row r="7" spans="1:8" ht="13.9">
      <c r="A7" s="35" t="s">
        <v>20</v>
      </c>
      <c r="B7" s="4" t="s">
        <v>21</v>
      </c>
      <c r="C7" s="4" t="s">
        <v>22</v>
      </c>
      <c r="D7" s="4" t="s">
        <v>23</v>
      </c>
      <c r="E7" s="4" t="s">
        <v>12</v>
      </c>
      <c r="F7" s="4" t="s">
        <v>12</v>
      </c>
      <c r="G7" s="11" t="s">
        <v>13</v>
      </c>
      <c r="H7" s="7"/>
    </row>
    <row r="8" spans="1:8" ht="15">
      <c r="A8" s="35" t="s">
        <v>24</v>
      </c>
      <c r="B8" s="4" t="s">
        <v>21</v>
      </c>
      <c r="C8" s="57" t="s">
        <v>220</v>
      </c>
      <c r="D8" s="4" t="s">
        <v>25</v>
      </c>
      <c r="E8" s="4" t="s">
        <v>12</v>
      </c>
      <c r="F8" s="4" t="s">
        <v>12</v>
      </c>
      <c r="G8" s="11" t="s">
        <v>13</v>
      </c>
      <c r="H8" s="7"/>
    </row>
    <row r="9" spans="1:8" ht="27">
      <c r="A9" s="35" t="s">
        <v>26</v>
      </c>
      <c r="B9" s="4" t="s">
        <v>27</v>
      </c>
      <c r="C9" s="4" t="s">
        <v>28</v>
      </c>
      <c r="D9" s="4" t="s">
        <v>29</v>
      </c>
      <c r="E9" s="4" t="s">
        <v>12</v>
      </c>
      <c r="F9" s="4" t="s">
        <v>12</v>
      </c>
      <c r="G9" s="11" t="s">
        <v>13</v>
      </c>
      <c r="H9" s="7" t="s">
        <v>30</v>
      </c>
    </row>
    <row r="10" spans="1:8" ht="13.9">
      <c r="A10" s="35" t="s">
        <v>31</v>
      </c>
      <c r="B10" s="4" t="s">
        <v>32</v>
      </c>
      <c r="C10" s="4" t="s">
        <v>33</v>
      </c>
      <c r="D10" s="4" t="s">
        <v>34</v>
      </c>
      <c r="E10" s="4" t="s">
        <v>12</v>
      </c>
      <c r="F10" s="4" t="s">
        <v>12</v>
      </c>
      <c r="G10" s="11" t="s">
        <v>13</v>
      </c>
      <c r="H10" s="7" t="s">
        <v>35</v>
      </c>
    </row>
    <row r="11" spans="1:8" ht="13.9">
      <c r="A11" s="35" t="s">
        <v>36</v>
      </c>
      <c r="B11" s="4" t="s">
        <v>37</v>
      </c>
      <c r="C11" s="4" t="s">
        <v>38</v>
      </c>
      <c r="D11" s="4" t="s">
        <v>39</v>
      </c>
      <c r="E11" s="4" t="s">
        <v>12</v>
      </c>
      <c r="F11" s="4" t="s">
        <v>12</v>
      </c>
      <c r="G11" s="11" t="s">
        <v>13</v>
      </c>
      <c r="H11" s="7" t="s">
        <v>40</v>
      </c>
    </row>
    <row r="12" spans="1:8" ht="13.9">
      <c r="A12" s="35" t="s">
        <v>41</v>
      </c>
      <c r="B12" s="4" t="s">
        <v>42</v>
      </c>
      <c r="C12" s="4" t="s">
        <v>43</v>
      </c>
      <c r="D12" s="4" t="s">
        <v>44</v>
      </c>
      <c r="E12" s="4" t="s">
        <v>12</v>
      </c>
      <c r="F12" s="4" t="s">
        <v>12</v>
      </c>
      <c r="G12" s="11" t="s">
        <v>13</v>
      </c>
      <c r="H12" s="7" t="s">
        <v>45</v>
      </c>
    </row>
    <row r="13" spans="1:8" ht="13.9">
      <c r="A13" s="35" t="s">
        <v>46</v>
      </c>
      <c r="B13" s="4" t="s">
        <v>47</v>
      </c>
      <c r="C13" s="4" t="s">
        <v>48</v>
      </c>
      <c r="D13" s="4" t="s">
        <v>49</v>
      </c>
      <c r="E13" s="4" t="s">
        <v>18</v>
      </c>
      <c r="F13" s="4" t="s">
        <v>18</v>
      </c>
      <c r="G13" s="11" t="s">
        <v>13</v>
      </c>
      <c r="H13" s="7"/>
    </row>
    <row r="14" spans="1:8" ht="27">
      <c r="A14" s="35" t="s">
        <v>50</v>
      </c>
      <c r="B14" s="4">
        <v>60</v>
      </c>
      <c r="C14" s="4" t="s">
        <v>10</v>
      </c>
      <c r="D14" s="4" t="s">
        <v>51</v>
      </c>
      <c r="E14" s="4" t="s">
        <v>12</v>
      </c>
      <c r="F14" s="4" t="s">
        <v>12</v>
      </c>
      <c r="G14" s="11" t="s">
        <v>13</v>
      </c>
      <c r="H14" s="7" t="s">
        <v>52</v>
      </c>
    </row>
    <row r="15" spans="1:8" ht="13.9">
      <c r="A15" s="35" t="s">
        <v>53</v>
      </c>
      <c r="B15" s="4" t="s">
        <v>54</v>
      </c>
      <c r="C15" s="4" t="s">
        <v>55</v>
      </c>
      <c r="D15" s="4" t="s">
        <v>56</v>
      </c>
      <c r="E15" s="4" t="s">
        <v>18</v>
      </c>
      <c r="F15" s="4" t="s">
        <v>12</v>
      </c>
      <c r="G15" s="11" t="s">
        <v>13</v>
      </c>
      <c r="H15" s="7"/>
    </row>
    <row r="16" spans="1:8" ht="13.9">
      <c r="A16" s="35" t="s">
        <v>57</v>
      </c>
      <c r="B16" s="4" t="s">
        <v>58</v>
      </c>
      <c r="C16" s="4" t="s">
        <v>55</v>
      </c>
      <c r="D16" s="4" t="s">
        <v>59</v>
      </c>
      <c r="E16" s="4" t="s">
        <v>18</v>
      </c>
      <c r="F16" s="4" t="s">
        <v>12</v>
      </c>
      <c r="G16" s="11" t="s">
        <v>13</v>
      </c>
      <c r="H16" s="7"/>
    </row>
    <row r="17" spans="1:8" ht="27">
      <c r="A17" s="36" t="s">
        <v>60</v>
      </c>
      <c r="B17" s="8" t="s">
        <v>61</v>
      </c>
      <c r="C17" s="8" t="s">
        <v>55</v>
      </c>
      <c r="D17" s="8" t="s">
        <v>62</v>
      </c>
      <c r="E17" s="8" t="s">
        <v>18</v>
      </c>
      <c r="F17" s="8" t="s">
        <v>12</v>
      </c>
      <c r="G17" s="12" t="s">
        <v>13</v>
      </c>
      <c r="H17" s="9" t="s">
        <v>63</v>
      </c>
    </row>
    <row r="18" spans="1:8" ht="13.9">
      <c r="A18" s="33"/>
    </row>
    <row r="19" spans="1:8" ht="13.9">
      <c r="A19" s="33"/>
    </row>
    <row r="20" spans="1:8" ht="14.65">
      <c r="A20" s="49" t="s">
        <v>64</v>
      </c>
      <c r="B20" s="50"/>
      <c r="C20" s="50"/>
      <c r="D20" s="50"/>
      <c r="E20" s="50"/>
      <c r="F20" s="50"/>
      <c r="G20" s="50"/>
      <c r="H20" s="50"/>
    </row>
    <row r="21" spans="1:8" ht="27.4">
      <c r="A21" s="37" t="s">
        <v>65</v>
      </c>
      <c r="B21" s="3" t="s">
        <v>66</v>
      </c>
      <c r="C21" s="3" t="s">
        <v>67</v>
      </c>
      <c r="E21" s="51" t="s">
        <v>68</v>
      </c>
      <c r="F21" s="51"/>
      <c r="G21" s="51"/>
      <c r="H21" s="51"/>
    </row>
    <row r="22" spans="1:8" ht="40.5">
      <c r="A22" s="37" t="s">
        <v>69</v>
      </c>
      <c r="B22" s="3" t="s">
        <v>70</v>
      </c>
      <c r="C22" s="3" t="s">
        <v>71</v>
      </c>
      <c r="E22" s="3" t="s">
        <v>72</v>
      </c>
      <c r="F22" s="3"/>
      <c r="G22" s="3"/>
      <c r="H22" s="3"/>
    </row>
    <row r="23" spans="1:8" ht="67.5">
      <c r="A23" s="37" t="s">
        <v>73</v>
      </c>
      <c r="B23" s="3" t="s">
        <v>74</v>
      </c>
      <c r="C23" s="3" t="s">
        <v>75</v>
      </c>
      <c r="E23" s="3" t="s">
        <v>76</v>
      </c>
      <c r="F23" s="3"/>
      <c r="G23" s="3"/>
      <c r="H23" s="3"/>
    </row>
    <row r="24" spans="1:8" ht="81">
      <c r="A24" s="37" t="s">
        <v>77</v>
      </c>
      <c r="B24" s="3" t="s">
        <v>78</v>
      </c>
      <c r="C24" s="3" t="s">
        <v>79</v>
      </c>
      <c r="E24" s="3" t="s">
        <v>80</v>
      </c>
      <c r="F24" s="3"/>
      <c r="G24" s="3"/>
      <c r="H24" s="3"/>
    </row>
    <row r="25" spans="1:8" ht="67.5">
      <c r="A25" s="37" t="s">
        <v>81</v>
      </c>
      <c r="B25" s="3" t="s">
        <v>82</v>
      </c>
      <c r="C25" s="3" t="s">
        <v>83</v>
      </c>
      <c r="E25" s="3" t="s">
        <v>84</v>
      </c>
      <c r="F25" s="3"/>
      <c r="G25" s="3"/>
      <c r="H25" s="3"/>
    </row>
    <row r="26" spans="1:8" ht="67.5">
      <c r="A26" s="37" t="s">
        <v>85</v>
      </c>
      <c r="B26" s="3" t="s">
        <v>86</v>
      </c>
      <c r="C26" s="3" t="s">
        <v>87</v>
      </c>
      <c r="E26" s="3" t="s">
        <v>88</v>
      </c>
      <c r="F26" s="3"/>
      <c r="G26" s="3"/>
      <c r="H26" s="3"/>
    </row>
    <row r="27" spans="1:8" ht="27">
      <c r="A27" s="37" t="s">
        <v>89</v>
      </c>
      <c r="B27" s="3" t="s">
        <v>90</v>
      </c>
      <c r="C27" s="3" t="s">
        <v>91</v>
      </c>
    </row>
    <row r="28" spans="1:8" ht="14.65">
      <c r="A28" s="37" t="s">
        <v>60</v>
      </c>
      <c r="B28" s="3" t="s">
        <v>92</v>
      </c>
      <c r="C28" s="3" t="s">
        <v>93</v>
      </c>
    </row>
    <row r="29" spans="1:8" ht="14.65">
      <c r="A29" s="38" t="s">
        <v>57</v>
      </c>
      <c r="B29" s="13" t="s">
        <v>94</v>
      </c>
      <c r="C29" s="13"/>
    </row>
    <row r="30" spans="1:8" ht="13.9">
      <c r="A30" s="33"/>
    </row>
    <row r="31" spans="1:8" ht="13.9">
      <c r="A31" s="33"/>
    </row>
    <row r="32" spans="1:8" ht="13.9">
      <c r="A32" s="33"/>
    </row>
    <row r="33" spans="1:1" ht="13.9">
      <c r="A33" s="33"/>
    </row>
    <row r="34" spans="1:1" ht="13.9">
      <c r="A34" s="33"/>
    </row>
    <row r="35" spans="1:1" ht="13.9">
      <c r="A35" s="33"/>
    </row>
    <row r="36" spans="1:1" ht="13.9">
      <c r="A36" s="33"/>
    </row>
    <row r="37" spans="1:1" ht="13.9">
      <c r="A37" s="33"/>
    </row>
    <row r="38" spans="1:1" ht="13.9">
      <c r="A38" s="33"/>
    </row>
    <row r="39" spans="1:1" ht="13.9">
      <c r="A39" s="33"/>
    </row>
    <row r="40" spans="1:1" ht="13.9">
      <c r="A40" s="33"/>
    </row>
    <row r="41" spans="1:1" ht="13.9">
      <c r="A41" s="33"/>
    </row>
    <row r="42" spans="1:1" ht="13.9">
      <c r="A42" s="33"/>
    </row>
    <row r="43" spans="1:1" ht="13.9">
      <c r="A43" s="33"/>
    </row>
    <row r="44" spans="1:1" ht="13.9">
      <c r="A44" s="33"/>
    </row>
    <row r="45" spans="1:1" ht="13.9">
      <c r="A45" s="33"/>
    </row>
    <row r="46" spans="1:1" ht="13.9">
      <c r="A46" s="33"/>
    </row>
    <row r="47" spans="1:1" ht="13.9">
      <c r="A47" s="33"/>
    </row>
    <row r="48" spans="1:1" ht="13.9">
      <c r="A48" s="33"/>
    </row>
    <row r="49" spans="1:1" ht="13.9">
      <c r="A49" s="33"/>
    </row>
    <row r="50" spans="1:1" ht="13.9">
      <c r="A50" s="33"/>
    </row>
    <row r="51" spans="1:1" ht="13.9">
      <c r="A51" s="33"/>
    </row>
    <row r="52" spans="1:1" ht="13.9">
      <c r="A52" s="33"/>
    </row>
    <row r="53" spans="1:1" ht="13.9">
      <c r="A53" s="33"/>
    </row>
    <row r="54" spans="1:1" ht="13.9">
      <c r="A54" s="33"/>
    </row>
    <row r="55" spans="1:1" ht="13.9">
      <c r="A55" s="33"/>
    </row>
    <row r="56" spans="1:1" ht="13.9">
      <c r="A56" s="33"/>
    </row>
    <row r="57" spans="1:1" ht="13.9">
      <c r="A57" s="33"/>
    </row>
    <row r="58" spans="1:1" ht="13.9">
      <c r="A58" s="33"/>
    </row>
    <row r="59" spans="1:1" ht="13.9">
      <c r="A59" s="33"/>
    </row>
    <row r="60" spans="1:1" ht="13.9">
      <c r="A60" s="33"/>
    </row>
    <row r="61" spans="1:1" ht="13.9">
      <c r="A61" s="33"/>
    </row>
    <row r="62" spans="1:1" ht="13.9">
      <c r="A62" s="33"/>
    </row>
    <row r="63" spans="1:1" ht="13.9">
      <c r="A63" s="33"/>
    </row>
    <row r="64" spans="1:1" ht="13.9">
      <c r="A64" s="33"/>
    </row>
    <row r="65" spans="1:1" ht="13.9">
      <c r="A65" s="33"/>
    </row>
    <row r="66" spans="1:1" ht="13.9">
      <c r="A66" s="33"/>
    </row>
    <row r="67" spans="1:1" ht="13.9">
      <c r="A67" s="33"/>
    </row>
    <row r="68" spans="1:1" ht="13.9">
      <c r="A68" s="33"/>
    </row>
    <row r="69" spans="1:1" ht="13.9">
      <c r="A69" s="33"/>
    </row>
    <row r="70" spans="1:1" ht="13.9">
      <c r="A70" s="33"/>
    </row>
    <row r="71" spans="1:1" ht="13.9">
      <c r="A71" s="33"/>
    </row>
    <row r="72" spans="1:1" ht="13.9">
      <c r="A72" s="33"/>
    </row>
    <row r="73" spans="1:1" ht="13.9">
      <c r="A73" s="33"/>
    </row>
    <row r="74" spans="1:1" ht="13.9">
      <c r="A74" s="33"/>
    </row>
    <row r="75" spans="1:1" ht="13.9">
      <c r="A75" s="33"/>
    </row>
    <row r="76" spans="1:1" ht="13.9">
      <c r="A76" s="33"/>
    </row>
    <row r="77" spans="1:1" ht="13.9">
      <c r="A77" s="33"/>
    </row>
    <row r="78" spans="1:1" ht="13.9">
      <c r="A78" s="33"/>
    </row>
    <row r="79" spans="1:1" ht="13.9">
      <c r="A79" s="33"/>
    </row>
    <row r="80" spans="1:1" ht="13.9">
      <c r="A80" s="33"/>
    </row>
    <row r="81" spans="1:1" ht="13.9">
      <c r="A81" s="33"/>
    </row>
    <row r="82" spans="1:1" ht="13.9">
      <c r="A82" s="33"/>
    </row>
    <row r="83" spans="1:1" ht="13.9">
      <c r="A83" s="33"/>
    </row>
    <row r="84" spans="1:1" ht="13.9">
      <c r="A84" s="33"/>
    </row>
    <row r="85" spans="1:1" ht="13.9">
      <c r="A85" s="33"/>
    </row>
    <row r="86" spans="1:1" ht="13.9">
      <c r="A86" s="33"/>
    </row>
    <row r="87" spans="1:1" ht="13.9">
      <c r="A87" s="33"/>
    </row>
    <row r="88" spans="1:1" ht="13.9">
      <c r="A88" s="33"/>
    </row>
    <row r="89" spans="1:1" ht="13.9">
      <c r="A89" s="33"/>
    </row>
    <row r="90" spans="1:1" ht="13.9">
      <c r="A90" s="33"/>
    </row>
    <row r="91" spans="1:1" ht="13.9">
      <c r="A91" s="33"/>
    </row>
    <row r="92" spans="1:1" ht="13.9">
      <c r="A92" s="33"/>
    </row>
    <row r="93" spans="1:1" ht="13.9">
      <c r="A93" s="33"/>
    </row>
    <row r="94" spans="1:1" ht="13.9">
      <c r="A94" s="33"/>
    </row>
    <row r="95" spans="1:1" ht="13.9">
      <c r="A95" s="33"/>
    </row>
    <row r="96" spans="1:1" ht="13.9">
      <c r="A96" s="33"/>
    </row>
    <row r="97" spans="1:1" ht="13.9">
      <c r="A97" s="33"/>
    </row>
    <row r="98" spans="1:1" ht="13.9">
      <c r="A98" s="33"/>
    </row>
    <row r="99" spans="1:1" ht="13.9">
      <c r="A99" s="33"/>
    </row>
    <row r="100" spans="1:1" ht="13.9">
      <c r="A100" s="33"/>
    </row>
    <row r="101" spans="1:1" ht="13.9">
      <c r="A101" s="33"/>
    </row>
    <row r="102" spans="1:1" ht="13.9">
      <c r="A102" s="33"/>
    </row>
    <row r="103" spans="1:1" ht="13.9">
      <c r="A103" s="33"/>
    </row>
    <row r="104" spans="1:1" ht="13.9">
      <c r="A104" s="33"/>
    </row>
    <row r="105" spans="1:1" ht="13.9">
      <c r="A105" s="33"/>
    </row>
    <row r="106" spans="1:1" ht="13.9">
      <c r="A106" s="33"/>
    </row>
    <row r="107" spans="1:1" ht="13.9">
      <c r="A107" s="33"/>
    </row>
    <row r="108" spans="1:1" ht="13.9">
      <c r="A108" s="33"/>
    </row>
    <row r="109" spans="1:1" ht="13.9">
      <c r="A109" s="33"/>
    </row>
    <row r="110" spans="1:1" ht="13.9">
      <c r="A110" s="33"/>
    </row>
    <row r="111" spans="1:1" ht="13.9">
      <c r="A111" s="33"/>
    </row>
    <row r="112" spans="1:1" ht="13.9">
      <c r="A112" s="33"/>
    </row>
    <row r="113" spans="1:1" ht="13.9">
      <c r="A113" s="33"/>
    </row>
    <row r="114" spans="1:1" ht="13.9">
      <c r="A114" s="33"/>
    </row>
    <row r="115" spans="1:1" ht="13.9">
      <c r="A115" s="33"/>
    </row>
    <row r="116" spans="1:1" ht="13.9">
      <c r="A116" s="33"/>
    </row>
    <row r="117" spans="1:1" ht="13.9">
      <c r="A117" s="33"/>
    </row>
    <row r="118" spans="1:1" ht="13.9">
      <c r="A118" s="33"/>
    </row>
    <row r="119" spans="1:1" ht="13.9">
      <c r="A119" s="33"/>
    </row>
    <row r="120" spans="1:1" ht="13.9">
      <c r="A120" s="33"/>
    </row>
    <row r="121" spans="1:1" ht="13.9">
      <c r="A121" s="33"/>
    </row>
    <row r="122" spans="1:1" ht="13.9">
      <c r="A122" s="33"/>
    </row>
    <row r="123" spans="1:1" ht="13.9">
      <c r="A123" s="33"/>
    </row>
    <row r="124" spans="1:1" ht="13.9">
      <c r="A124" s="33"/>
    </row>
    <row r="125" spans="1:1" ht="13.9">
      <c r="A125" s="33"/>
    </row>
    <row r="126" spans="1:1" ht="13.9">
      <c r="A126" s="33"/>
    </row>
    <row r="127" spans="1:1" ht="13.9">
      <c r="A127" s="33"/>
    </row>
    <row r="128" spans="1:1" ht="13.9">
      <c r="A128" s="33"/>
    </row>
    <row r="129" spans="1:1" ht="13.9">
      <c r="A129" s="33"/>
    </row>
    <row r="130" spans="1:1" ht="13.9">
      <c r="A130" s="33"/>
    </row>
    <row r="131" spans="1:1" ht="13.9">
      <c r="A131" s="33"/>
    </row>
    <row r="132" spans="1:1" ht="13.9">
      <c r="A132" s="33"/>
    </row>
    <row r="133" spans="1:1" ht="13.9">
      <c r="A133" s="33"/>
    </row>
    <row r="134" spans="1:1" ht="13.9">
      <c r="A134" s="33"/>
    </row>
    <row r="135" spans="1:1" ht="13.9">
      <c r="A135" s="33"/>
    </row>
    <row r="136" spans="1:1" ht="13.9">
      <c r="A136" s="33"/>
    </row>
    <row r="137" spans="1:1" ht="13.9">
      <c r="A137" s="33"/>
    </row>
    <row r="138" spans="1:1" ht="13.9">
      <c r="A138" s="33"/>
    </row>
    <row r="139" spans="1:1" ht="13.9">
      <c r="A139" s="33"/>
    </row>
    <row r="140" spans="1:1" ht="13.9">
      <c r="A140" s="33"/>
    </row>
    <row r="141" spans="1:1" ht="13.9">
      <c r="A141" s="33"/>
    </row>
    <row r="142" spans="1:1" ht="13.9">
      <c r="A142" s="33"/>
    </row>
    <row r="143" spans="1:1" ht="13.9">
      <c r="A143" s="33"/>
    </row>
    <row r="144" spans="1:1" ht="13.9">
      <c r="A144" s="33"/>
    </row>
    <row r="145" spans="1:1" ht="13.9">
      <c r="A145" s="33"/>
    </row>
    <row r="146" spans="1:1" ht="13.9">
      <c r="A146" s="33"/>
    </row>
    <row r="147" spans="1:1" ht="13.9">
      <c r="A147" s="33"/>
    </row>
    <row r="148" spans="1:1" ht="13.9">
      <c r="A148" s="33"/>
    </row>
    <row r="149" spans="1:1" ht="13.9">
      <c r="A149" s="33"/>
    </row>
    <row r="150" spans="1:1" ht="13.9">
      <c r="A150" s="33"/>
    </row>
    <row r="151" spans="1:1" ht="13.9">
      <c r="A151" s="33"/>
    </row>
    <row r="152" spans="1:1" ht="13.9">
      <c r="A152" s="33"/>
    </row>
    <row r="153" spans="1:1" ht="13.9">
      <c r="A153" s="33"/>
    </row>
    <row r="154" spans="1:1" ht="13.9">
      <c r="A154" s="33"/>
    </row>
    <row r="155" spans="1:1" ht="13.9">
      <c r="A155" s="33"/>
    </row>
    <row r="156" spans="1:1" ht="13.9">
      <c r="A156" s="33"/>
    </row>
    <row r="157" spans="1:1" ht="13.9">
      <c r="A157" s="33"/>
    </row>
    <row r="158" spans="1:1" ht="13.9">
      <c r="A158" s="33"/>
    </row>
    <row r="159" spans="1:1" ht="13.9">
      <c r="A159" s="33"/>
    </row>
    <row r="160" spans="1:1" ht="13.9">
      <c r="A160" s="33"/>
    </row>
    <row r="161" spans="1:1" ht="13.9">
      <c r="A161" s="33"/>
    </row>
    <row r="162" spans="1:1" ht="13.9">
      <c r="A162" s="33"/>
    </row>
    <row r="163" spans="1:1" ht="13.9">
      <c r="A163" s="33"/>
    </row>
    <row r="164" spans="1:1" ht="13.9">
      <c r="A164" s="33"/>
    </row>
    <row r="165" spans="1:1" ht="13.9">
      <c r="A165" s="33"/>
    </row>
    <row r="166" spans="1:1" ht="13.9">
      <c r="A166" s="33"/>
    </row>
    <row r="167" spans="1:1" ht="13.9">
      <c r="A167" s="33"/>
    </row>
    <row r="168" spans="1:1" ht="13.9">
      <c r="A168" s="33"/>
    </row>
    <row r="169" spans="1:1" ht="13.9">
      <c r="A169" s="33"/>
    </row>
    <row r="170" spans="1:1" ht="13.9">
      <c r="A170" s="33"/>
    </row>
    <row r="171" spans="1:1" ht="13.9">
      <c r="A171" s="33"/>
    </row>
    <row r="172" spans="1:1" ht="13.9">
      <c r="A172" s="33"/>
    </row>
    <row r="173" spans="1:1" ht="13.9">
      <c r="A173" s="33"/>
    </row>
    <row r="174" spans="1:1" ht="13.9">
      <c r="A174" s="33"/>
    </row>
    <row r="175" spans="1:1" ht="13.9">
      <c r="A175" s="33"/>
    </row>
    <row r="176" spans="1:1" ht="13.9">
      <c r="A176" s="33"/>
    </row>
    <row r="177" spans="1:1" ht="13.9">
      <c r="A177" s="33"/>
    </row>
    <row r="178" spans="1:1" ht="13.9">
      <c r="A178" s="33"/>
    </row>
    <row r="179" spans="1:1" ht="13.9">
      <c r="A179" s="33"/>
    </row>
    <row r="180" spans="1:1" ht="13.9">
      <c r="A180" s="33"/>
    </row>
    <row r="181" spans="1:1" ht="13.9">
      <c r="A181" s="33"/>
    </row>
    <row r="182" spans="1:1" ht="13.9">
      <c r="A182" s="33"/>
    </row>
    <row r="183" spans="1:1" ht="13.9">
      <c r="A183" s="33"/>
    </row>
    <row r="184" spans="1:1" ht="13.9">
      <c r="A184" s="33"/>
    </row>
    <row r="185" spans="1:1" ht="13.9">
      <c r="A185" s="33"/>
    </row>
    <row r="186" spans="1:1" ht="13.9">
      <c r="A186" s="33"/>
    </row>
    <row r="187" spans="1:1" ht="13.9">
      <c r="A187" s="33"/>
    </row>
    <row r="188" spans="1:1" ht="13.9">
      <c r="A188" s="33"/>
    </row>
    <row r="189" spans="1:1" ht="13.9">
      <c r="A189" s="33"/>
    </row>
    <row r="190" spans="1:1" ht="13.9">
      <c r="A190" s="33"/>
    </row>
    <row r="191" spans="1:1" ht="13.9">
      <c r="A191" s="33"/>
    </row>
    <row r="192" spans="1:1" ht="13.9">
      <c r="A192" s="33"/>
    </row>
    <row r="193" spans="1:1" ht="13.9">
      <c r="A193" s="33"/>
    </row>
    <row r="194" spans="1:1" ht="13.9">
      <c r="A194" s="33"/>
    </row>
    <row r="195" spans="1:1" ht="13.9">
      <c r="A195" s="33"/>
    </row>
    <row r="196" spans="1:1" ht="13.9">
      <c r="A196" s="33"/>
    </row>
    <row r="197" spans="1:1" ht="13.9">
      <c r="A197" s="33"/>
    </row>
    <row r="198" spans="1:1" ht="13.9">
      <c r="A198" s="33"/>
    </row>
    <row r="199" spans="1:1" ht="13.9">
      <c r="A199" s="33"/>
    </row>
    <row r="200" spans="1:1" ht="13.9">
      <c r="A200" s="33"/>
    </row>
  </sheetData>
  <mergeCells count="3">
    <mergeCell ref="A1:H1"/>
    <mergeCell ref="A20:H20"/>
    <mergeCell ref="E21:H2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selection sqref="A1:G1"/>
    </sheetView>
  </sheetViews>
  <sheetFormatPr defaultRowHeight="13.5"/>
  <cols>
    <col min="1" max="3" width="12" customWidth="1"/>
    <col min="4" max="4" width="16" customWidth="1"/>
    <col min="5" max="6" width="12" customWidth="1"/>
    <col min="7" max="7" width="30" customWidth="1"/>
  </cols>
  <sheetData>
    <row r="1" spans="1:7" ht="18.75">
      <c r="A1" s="47" t="s">
        <v>95</v>
      </c>
      <c r="B1" s="52"/>
      <c r="C1" s="52"/>
      <c r="D1" s="52"/>
      <c r="E1" s="52"/>
      <c r="F1" s="52"/>
      <c r="G1" s="52"/>
    </row>
    <row r="2" spans="1:7" ht="13.9">
      <c r="A2" s="33"/>
    </row>
    <row r="3" spans="1:7" ht="14.65">
      <c r="A3" s="39" t="s">
        <v>96</v>
      </c>
      <c r="B3" s="14" t="s">
        <v>97</v>
      </c>
      <c r="C3" s="14" t="s">
        <v>98</v>
      </c>
      <c r="D3" s="14" t="s">
        <v>99</v>
      </c>
      <c r="E3" s="14" t="s">
        <v>100</v>
      </c>
      <c r="F3" s="14" t="s">
        <v>101</v>
      </c>
      <c r="G3" s="14" t="s">
        <v>102</v>
      </c>
    </row>
    <row r="4" spans="1:7" ht="13.9">
      <c r="A4" s="34" t="s">
        <v>103</v>
      </c>
      <c r="B4" s="17">
        <v>1</v>
      </c>
      <c r="C4" s="17">
        <v>10</v>
      </c>
      <c r="D4" s="17" t="s">
        <v>104</v>
      </c>
      <c r="E4" s="17">
        <v>100</v>
      </c>
      <c r="F4" s="17">
        <v>50</v>
      </c>
      <c r="G4" s="18" t="s">
        <v>105</v>
      </c>
    </row>
    <row r="5" spans="1:7" ht="13.9">
      <c r="A5" s="35" t="s">
        <v>106</v>
      </c>
      <c r="B5" s="3">
        <v>11</v>
      </c>
      <c r="C5" s="3">
        <v>20</v>
      </c>
      <c r="D5" s="3" t="s">
        <v>104</v>
      </c>
      <c r="E5" s="3">
        <v>600</v>
      </c>
      <c r="F5" s="3">
        <v>100</v>
      </c>
      <c r="G5" s="19" t="s">
        <v>107</v>
      </c>
    </row>
    <row r="6" spans="1:7" ht="13.9">
      <c r="A6" s="35" t="s">
        <v>108</v>
      </c>
      <c r="B6" s="3">
        <v>21</v>
      </c>
      <c r="C6" s="3">
        <v>30</v>
      </c>
      <c r="D6" s="3" t="s">
        <v>104</v>
      </c>
      <c r="E6" s="3">
        <v>1600</v>
      </c>
      <c r="F6" s="3">
        <v>100</v>
      </c>
      <c r="G6" s="19" t="s">
        <v>109</v>
      </c>
    </row>
    <row r="7" spans="1:7" ht="13.9">
      <c r="A7" s="35" t="s">
        <v>110</v>
      </c>
      <c r="B7" s="3">
        <v>31</v>
      </c>
      <c r="C7" s="3">
        <v>35</v>
      </c>
      <c r="D7" s="3" t="s">
        <v>111</v>
      </c>
      <c r="E7" s="3">
        <v>3500</v>
      </c>
      <c r="F7" s="3">
        <v>0</v>
      </c>
      <c r="G7" s="19" t="s">
        <v>112</v>
      </c>
    </row>
    <row r="8" spans="1:7" ht="13.9">
      <c r="A8" s="35" t="s">
        <v>113</v>
      </c>
      <c r="B8" s="3">
        <v>36</v>
      </c>
      <c r="C8" s="3">
        <v>40</v>
      </c>
      <c r="D8" s="3" t="s">
        <v>111</v>
      </c>
      <c r="E8" s="3">
        <v>5000</v>
      </c>
      <c r="F8" s="3">
        <v>0</v>
      </c>
      <c r="G8" s="19" t="s">
        <v>114</v>
      </c>
    </row>
    <row r="9" spans="1:7" ht="13.9">
      <c r="A9" s="35" t="s">
        <v>115</v>
      </c>
      <c r="B9" s="3">
        <v>41</v>
      </c>
      <c r="C9" s="3">
        <v>45</v>
      </c>
      <c r="D9" s="3" t="s">
        <v>111</v>
      </c>
      <c r="E9" s="3">
        <v>6000</v>
      </c>
      <c r="F9" s="3">
        <v>0</v>
      </c>
      <c r="G9" s="19" t="s">
        <v>116</v>
      </c>
    </row>
    <row r="10" spans="1:7" ht="13.9">
      <c r="A10" s="35" t="s">
        <v>117</v>
      </c>
      <c r="B10" s="3">
        <v>46</v>
      </c>
      <c r="C10" s="3">
        <v>50</v>
      </c>
      <c r="D10" s="3" t="s">
        <v>111</v>
      </c>
      <c r="E10" s="3">
        <v>8000</v>
      </c>
      <c r="F10" s="3">
        <v>0</v>
      </c>
      <c r="G10" s="19" t="s">
        <v>118</v>
      </c>
    </row>
    <row r="11" spans="1:7" ht="13.9">
      <c r="A11" s="35" t="s">
        <v>119</v>
      </c>
      <c r="B11" s="3">
        <v>51</v>
      </c>
      <c r="C11" s="3">
        <v>55</v>
      </c>
      <c r="D11" s="3" t="s">
        <v>111</v>
      </c>
      <c r="E11" s="3">
        <v>10000</v>
      </c>
      <c r="F11" s="3">
        <v>0</v>
      </c>
      <c r="G11" s="19" t="s">
        <v>120</v>
      </c>
    </row>
    <row r="12" spans="1:7" ht="13.9">
      <c r="A12" s="36" t="s">
        <v>121</v>
      </c>
      <c r="B12" s="13">
        <v>56</v>
      </c>
      <c r="C12" s="13">
        <v>60</v>
      </c>
      <c r="D12" s="13" t="s">
        <v>111</v>
      </c>
      <c r="E12" s="13">
        <v>15000</v>
      </c>
      <c r="F12" s="13">
        <v>0</v>
      </c>
      <c r="G12" s="20" t="s">
        <v>122</v>
      </c>
    </row>
    <row r="13" spans="1:7" ht="13.9">
      <c r="A13" s="33"/>
    </row>
    <row r="14" spans="1:7" ht="13.9">
      <c r="A14" s="33"/>
    </row>
    <row r="15" spans="1:7" ht="13.9">
      <c r="A15" s="33"/>
    </row>
    <row r="16" spans="1:7" ht="13.9">
      <c r="A16" s="33"/>
    </row>
    <row r="17" spans="1:1" ht="13.9">
      <c r="A17" s="33"/>
    </row>
    <row r="18" spans="1:1" ht="13.9">
      <c r="A18" s="33"/>
    </row>
    <row r="19" spans="1:1" ht="13.9">
      <c r="A19" s="33"/>
    </row>
    <row r="20" spans="1:1" ht="13.9">
      <c r="A20" s="33"/>
    </row>
    <row r="21" spans="1:1" ht="13.9">
      <c r="A21" s="33"/>
    </row>
    <row r="22" spans="1:1" ht="13.9">
      <c r="A22" s="33"/>
    </row>
    <row r="23" spans="1:1" ht="13.9">
      <c r="A23" s="33"/>
    </row>
    <row r="24" spans="1:1" ht="13.9">
      <c r="A24" s="33"/>
    </row>
    <row r="25" spans="1:1" ht="13.9">
      <c r="A25" s="33"/>
    </row>
    <row r="26" spans="1:1" ht="13.9">
      <c r="A26" s="33"/>
    </row>
    <row r="27" spans="1:1" ht="13.9">
      <c r="A27" s="33"/>
    </row>
    <row r="28" spans="1:1" ht="13.9">
      <c r="A28" s="33"/>
    </row>
    <row r="29" spans="1:1" ht="13.9">
      <c r="A29" s="33"/>
    </row>
    <row r="30" spans="1:1" ht="13.9">
      <c r="A30" s="33"/>
    </row>
    <row r="31" spans="1:1" ht="13.9">
      <c r="A31" s="33"/>
    </row>
    <row r="32" spans="1:1" ht="13.9">
      <c r="A32" s="33"/>
    </row>
    <row r="33" spans="1:1" ht="13.9">
      <c r="A33" s="33"/>
    </row>
    <row r="34" spans="1:1" ht="13.9">
      <c r="A34" s="33"/>
    </row>
    <row r="35" spans="1:1" ht="13.9">
      <c r="A35" s="33"/>
    </row>
    <row r="36" spans="1:1" ht="13.9">
      <c r="A36" s="33"/>
    </row>
    <row r="37" spans="1:1" ht="13.9">
      <c r="A37" s="33"/>
    </row>
    <row r="38" spans="1:1" ht="13.9">
      <c r="A38" s="33"/>
    </row>
    <row r="39" spans="1:1" ht="13.9">
      <c r="A39" s="33"/>
    </row>
    <row r="40" spans="1:1" ht="13.9">
      <c r="A40" s="33"/>
    </row>
    <row r="41" spans="1:1" ht="13.9">
      <c r="A41" s="33"/>
    </row>
    <row r="42" spans="1:1" ht="13.9">
      <c r="A42" s="33"/>
    </row>
    <row r="43" spans="1:1" ht="13.9">
      <c r="A43" s="33"/>
    </row>
    <row r="44" spans="1:1" ht="13.9">
      <c r="A44" s="33"/>
    </row>
    <row r="45" spans="1:1" ht="13.9">
      <c r="A45" s="33"/>
    </row>
    <row r="46" spans="1:1" ht="13.9">
      <c r="A46" s="33"/>
    </row>
    <row r="47" spans="1:1" ht="13.9">
      <c r="A47" s="33"/>
    </row>
    <row r="48" spans="1:1" ht="13.9">
      <c r="A48" s="33"/>
    </row>
    <row r="49" spans="1:1" ht="13.9">
      <c r="A49" s="33"/>
    </row>
    <row r="50" spans="1:1" ht="13.9">
      <c r="A50" s="33"/>
    </row>
    <row r="51" spans="1:1" ht="13.9">
      <c r="A51" s="33"/>
    </row>
    <row r="52" spans="1:1" ht="13.9">
      <c r="A52" s="33"/>
    </row>
    <row r="53" spans="1:1" ht="13.9">
      <c r="A53" s="33"/>
    </row>
    <row r="54" spans="1:1" ht="13.9">
      <c r="A54" s="33"/>
    </row>
    <row r="55" spans="1:1" ht="13.9">
      <c r="A55" s="33"/>
    </row>
    <row r="56" spans="1:1" ht="13.9">
      <c r="A56" s="33"/>
    </row>
    <row r="57" spans="1:1" ht="13.9">
      <c r="A57" s="33"/>
    </row>
    <row r="58" spans="1:1" ht="13.9">
      <c r="A58" s="33"/>
    </row>
    <row r="59" spans="1:1" ht="13.9">
      <c r="A59" s="33"/>
    </row>
    <row r="60" spans="1:1" ht="13.9">
      <c r="A60" s="33"/>
    </row>
    <row r="61" spans="1:1" ht="13.9">
      <c r="A61" s="33"/>
    </row>
    <row r="62" spans="1:1" ht="13.9">
      <c r="A62" s="33"/>
    </row>
    <row r="63" spans="1:1" ht="13.9">
      <c r="A63" s="33"/>
    </row>
    <row r="64" spans="1:1" ht="13.9">
      <c r="A64" s="33"/>
    </row>
    <row r="65" spans="1:1" ht="13.9">
      <c r="A65" s="33"/>
    </row>
    <row r="66" spans="1:1" ht="13.9">
      <c r="A66" s="33"/>
    </row>
    <row r="67" spans="1:1" ht="13.9">
      <c r="A67" s="33"/>
    </row>
    <row r="68" spans="1:1" ht="13.9">
      <c r="A68" s="33"/>
    </row>
    <row r="69" spans="1:1" ht="13.9">
      <c r="A69" s="33"/>
    </row>
    <row r="70" spans="1:1" ht="13.9">
      <c r="A70" s="33"/>
    </row>
    <row r="71" spans="1:1" ht="13.9">
      <c r="A71" s="33"/>
    </row>
    <row r="72" spans="1:1" ht="13.9">
      <c r="A72" s="33"/>
    </row>
    <row r="73" spans="1:1" ht="13.9">
      <c r="A73" s="33"/>
    </row>
    <row r="74" spans="1:1" ht="13.9">
      <c r="A74" s="33"/>
    </row>
    <row r="75" spans="1:1" ht="13.9">
      <c r="A75" s="33"/>
    </row>
    <row r="76" spans="1:1" ht="13.9">
      <c r="A76" s="33"/>
    </row>
    <row r="77" spans="1:1" ht="13.9">
      <c r="A77" s="33"/>
    </row>
    <row r="78" spans="1:1" ht="13.9">
      <c r="A78" s="33"/>
    </row>
    <row r="79" spans="1:1" ht="13.9">
      <c r="A79" s="33"/>
    </row>
    <row r="80" spans="1:1" ht="13.9">
      <c r="A80" s="33"/>
    </row>
    <row r="81" spans="1:1" ht="13.9">
      <c r="A81" s="33"/>
    </row>
    <row r="82" spans="1:1" ht="13.9">
      <c r="A82" s="33"/>
    </row>
    <row r="83" spans="1:1" ht="13.9">
      <c r="A83" s="33"/>
    </row>
    <row r="84" spans="1:1" ht="13.9">
      <c r="A84" s="33"/>
    </row>
    <row r="85" spans="1:1" ht="13.9">
      <c r="A85" s="33"/>
    </row>
    <row r="86" spans="1:1" ht="13.9">
      <c r="A86" s="33"/>
    </row>
    <row r="87" spans="1:1" ht="13.9">
      <c r="A87" s="33"/>
    </row>
    <row r="88" spans="1:1" ht="13.9">
      <c r="A88" s="33"/>
    </row>
    <row r="89" spans="1:1" ht="13.9">
      <c r="A89" s="33"/>
    </row>
    <row r="90" spans="1:1" ht="13.9">
      <c r="A90" s="33"/>
    </row>
    <row r="91" spans="1:1" ht="13.9">
      <c r="A91" s="33"/>
    </row>
    <row r="92" spans="1:1" ht="13.9">
      <c r="A92" s="33"/>
    </row>
    <row r="93" spans="1:1" ht="13.9">
      <c r="A93" s="33"/>
    </row>
    <row r="94" spans="1:1" ht="13.9">
      <c r="A94" s="33"/>
    </row>
    <row r="95" spans="1:1" ht="13.9">
      <c r="A95" s="33"/>
    </row>
    <row r="96" spans="1:1" ht="13.9">
      <c r="A96" s="33"/>
    </row>
    <row r="97" spans="1:1" ht="13.9">
      <c r="A97" s="33"/>
    </row>
    <row r="98" spans="1:1" ht="13.9">
      <c r="A98" s="33"/>
    </row>
    <row r="99" spans="1:1" ht="13.9">
      <c r="A99" s="33"/>
    </row>
    <row r="100" spans="1:1" ht="13.9">
      <c r="A100" s="33"/>
    </row>
    <row r="101" spans="1:1" ht="13.9">
      <c r="A101" s="33"/>
    </row>
    <row r="102" spans="1:1" ht="13.9">
      <c r="A102" s="33"/>
    </row>
    <row r="103" spans="1:1" ht="13.9">
      <c r="A103" s="33"/>
    </row>
    <row r="104" spans="1:1" ht="13.9">
      <c r="A104" s="33"/>
    </row>
    <row r="105" spans="1:1" ht="13.9">
      <c r="A105" s="33"/>
    </row>
    <row r="106" spans="1:1" ht="13.9">
      <c r="A106" s="33"/>
    </row>
    <row r="107" spans="1:1" ht="13.9">
      <c r="A107" s="33"/>
    </row>
    <row r="108" spans="1:1" ht="13.9">
      <c r="A108" s="33"/>
    </row>
    <row r="109" spans="1:1" ht="13.9">
      <c r="A109" s="33"/>
    </row>
    <row r="110" spans="1:1" ht="13.9">
      <c r="A110" s="33"/>
    </row>
    <row r="111" spans="1:1" ht="13.9">
      <c r="A111" s="33"/>
    </row>
    <row r="112" spans="1:1" ht="13.9">
      <c r="A112" s="33"/>
    </row>
    <row r="113" spans="1:1" ht="13.9">
      <c r="A113" s="33"/>
    </row>
    <row r="114" spans="1:1" ht="13.9">
      <c r="A114" s="33"/>
    </row>
    <row r="115" spans="1:1" ht="13.9">
      <c r="A115" s="33"/>
    </row>
    <row r="116" spans="1:1" ht="13.9">
      <c r="A116" s="33"/>
    </row>
    <row r="117" spans="1:1" ht="13.9">
      <c r="A117" s="33"/>
    </row>
    <row r="118" spans="1:1" ht="13.9">
      <c r="A118" s="33"/>
    </row>
    <row r="119" spans="1:1" ht="13.9">
      <c r="A119" s="33"/>
    </row>
    <row r="120" spans="1:1" ht="13.9">
      <c r="A120" s="33"/>
    </row>
    <row r="121" spans="1:1" ht="13.9">
      <c r="A121" s="33"/>
    </row>
    <row r="122" spans="1:1" ht="13.9">
      <c r="A122" s="33"/>
    </row>
    <row r="123" spans="1:1" ht="13.9">
      <c r="A123" s="33"/>
    </row>
    <row r="124" spans="1:1" ht="13.9">
      <c r="A124" s="33"/>
    </row>
    <row r="125" spans="1:1" ht="13.9">
      <c r="A125" s="33"/>
    </row>
    <row r="126" spans="1:1" ht="13.9">
      <c r="A126" s="33"/>
    </row>
    <row r="127" spans="1:1" ht="13.9">
      <c r="A127" s="33"/>
    </row>
    <row r="128" spans="1:1" ht="13.9">
      <c r="A128" s="33"/>
    </row>
    <row r="129" spans="1:1" ht="13.9">
      <c r="A129" s="33"/>
    </row>
    <row r="130" spans="1:1" ht="13.9">
      <c r="A130" s="33"/>
    </row>
    <row r="131" spans="1:1" ht="13.9">
      <c r="A131" s="33"/>
    </row>
    <row r="132" spans="1:1" ht="13.9">
      <c r="A132" s="33"/>
    </row>
    <row r="133" spans="1:1" ht="13.9">
      <c r="A133" s="33"/>
    </row>
    <row r="134" spans="1:1" ht="13.9">
      <c r="A134" s="33"/>
    </row>
    <row r="135" spans="1:1" ht="13.9">
      <c r="A135" s="33"/>
    </row>
    <row r="136" spans="1:1" ht="13.9">
      <c r="A136" s="33"/>
    </row>
    <row r="137" spans="1:1" ht="13.9">
      <c r="A137" s="33"/>
    </row>
    <row r="138" spans="1:1" ht="13.9">
      <c r="A138" s="33"/>
    </row>
    <row r="139" spans="1:1" ht="13.9">
      <c r="A139" s="33"/>
    </row>
    <row r="140" spans="1:1" ht="13.9">
      <c r="A140" s="33"/>
    </row>
    <row r="141" spans="1:1" ht="13.9">
      <c r="A141" s="33"/>
    </row>
    <row r="142" spans="1:1" ht="13.9">
      <c r="A142" s="33"/>
    </row>
    <row r="143" spans="1:1" ht="13.9">
      <c r="A143" s="33"/>
    </row>
    <row r="144" spans="1:1" ht="13.9">
      <c r="A144" s="33"/>
    </row>
    <row r="145" spans="1:1" ht="13.9">
      <c r="A145" s="33"/>
    </row>
    <row r="146" spans="1:1" ht="13.9">
      <c r="A146" s="33"/>
    </row>
    <row r="147" spans="1:1" ht="13.9">
      <c r="A147" s="33"/>
    </row>
    <row r="148" spans="1:1" ht="13.9">
      <c r="A148" s="33"/>
    </row>
    <row r="149" spans="1:1" ht="13.9">
      <c r="A149" s="33"/>
    </row>
    <row r="150" spans="1:1" ht="13.9">
      <c r="A150" s="33"/>
    </row>
    <row r="151" spans="1:1" ht="13.9">
      <c r="A151" s="33"/>
    </row>
    <row r="152" spans="1:1" ht="13.9">
      <c r="A152" s="33"/>
    </row>
    <row r="153" spans="1:1" ht="13.9">
      <c r="A153" s="33"/>
    </row>
    <row r="154" spans="1:1" ht="13.9">
      <c r="A154" s="33"/>
    </row>
    <row r="155" spans="1:1" ht="13.9">
      <c r="A155" s="33"/>
    </row>
    <row r="156" spans="1:1" ht="13.9">
      <c r="A156" s="33"/>
    </row>
    <row r="157" spans="1:1" ht="13.9">
      <c r="A157" s="33"/>
    </row>
    <row r="158" spans="1:1" ht="13.9">
      <c r="A158" s="33"/>
    </row>
    <row r="159" spans="1:1" ht="13.9">
      <c r="A159" s="33"/>
    </row>
    <row r="160" spans="1:1" ht="13.9">
      <c r="A160" s="33"/>
    </row>
    <row r="161" spans="1:1" ht="13.9">
      <c r="A161" s="33"/>
    </row>
    <row r="162" spans="1:1" ht="13.9">
      <c r="A162" s="33"/>
    </row>
    <row r="163" spans="1:1" ht="13.9">
      <c r="A163" s="33"/>
    </row>
    <row r="164" spans="1:1" ht="13.9">
      <c r="A164" s="33"/>
    </row>
    <row r="165" spans="1:1" ht="13.9">
      <c r="A165" s="33"/>
    </row>
    <row r="166" spans="1:1" ht="13.9">
      <c r="A166" s="33"/>
    </row>
    <row r="167" spans="1:1" ht="13.9">
      <c r="A167" s="33"/>
    </row>
    <row r="168" spans="1:1" ht="13.9">
      <c r="A168" s="33"/>
    </row>
    <row r="169" spans="1:1" ht="13.9">
      <c r="A169" s="33"/>
    </row>
    <row r="170" spans="1:1" ht="13.9">
      <c r="A170" s="33"/>
    </row>
    <row r="171" spans="1:1" ht="13.9">
      <c r="A171" s="33"/>
    </row>
    <row r="172" spans="1:1" ht="13.9">
      <c r="A172" s="33"/>
    </row>
    <row r="173" spans="1:1" ht="13.9">
      <c r="A173" s="33"/>
    </row>
    <row r="174" spans="1:1" ht="13.9">
      <c r="A174" s="33"/>
    </row>
    <row r="175" spans="1:1" ht="13.9">
      <c r="A175" s="33"/>
    </row>
    <row r="176" spans="1:1" ht="13.9">
      <c r="A176" s="33"/>
    </row>
    <row r="177" spans="1:1" ht="13.9">
      <c r="A177" s="33"/>
    </row>
    <row r="178" spans="1:1" ht="13.9">
      <c r="A178" s="33"/>
    </row>
    <row r="179" spans="1:1" ht="13.9">
      <c r="A179" s="33"/>
    </row>
    <row r="180" spans="1:1" ht="13.9">
      <c r="A180" s="33"/>
    </row>
    <row r="181" spans="1:1" ht="13.9">
      <c r="A181" s="33"/>
    </row>
    <row r="182" spans="1:1" ht="13.9">
      <c r="A182" s="33"/>
    </row>
    <row r="183" spans="1:1" ht="13.9">
      <c r="A183" s="33"/>
    </row>
    <row r="184" spans="1:1" ht="13.9">
      <c r="A184" s="33"/>
    </row>
    <row r="185" spans="1:1" ht="13.9">
      <c r="A185" s="33"/>
    </row>
    <row r="186" spans="1:1" ht="13.9">
      <c r="A186" s="33"/>
    </row>
    <row r="187" spans="1:1" ht="13.9">
      <c r="A187" s="33"/>
    </row>
    <row r="188" spans="1:1" ht="13.9">
      <c r="A188" s="33"/>
    </row>
    <row r="189" spans="1:1" ht="13.9">
      <c r="A189" s="33"/>
    </row>
    <row r="190" spans="1:1" ht="13.9">
      <c r="A190" s="33"/>
    </row>
    <row r="191" spans="1:1" ht="13.9">
      <c r="A191" s="33"/>
    </row>
    <row r="192" spans="1:1" ht="13.9">
      <c r="A192" s="33"/>
    </row>
    <row r="193" spans="1:1" ht="13.9">
      <c r="A193" s="33"/>
    </row>
    <row r="194" spans="1:1" ht="13.9">
      <c r="A194" s="33"/>
    </row>
    <row r="195" spans="1:1" ht="13.9">
      <c r="A195" s="33"/>
    </row>
    <row r="196" spans="1:1" ht="13.9">
      <c r="A196" s="33"/>
    </row>
    <row r="197" spans="1:1" ht="13.9">
      <c r="A197" s="33"/>
    </row>
    <row r="198" spans="1:1" ht="13.9">
      <c r="A198" s="33"/>
    </row>
    <row r="199" spans="1:1" ht="13.9">
      <c r="A199" s="33"/>
    </row>
    <row r="200" spans="1:1" ht="13.9">
      <c r="A200" s="33"/>
    </row>
  </sheetData>
  <mergeCells count="1">
    <mergeCell ref="A1:G1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opLeftCell="A48" workbookViewId="0">
      <selection sqref="A1:I1"/>
    </sheetView>
  </sheetViews>
  <sheetFormatPr defaultRowHeight="13.5"/>
  <cols>
    <col min="1" max="2" width="11" customWidth="1"/>
    <col min="3" max="3" width="18" customWidth="1"/>
    <col min="4" max="4" width="22" customWidth="1"/>
    <col min="5" max="5" width="18" customWidth="1"/>
    <col min="6" max="6" width="22" customWidth="1"/>
    <col min="7" max="8" width="13" customWidth="1"/>
    <col min="9" max="9" width="34" customWidth="1"/>
  </cols>
  <sheetData>
    <row r="1" spans="1:26" ht="18.75">
      <c r="A1" s="53" t="s">
        <v>123</v>
      </c>
      <c r="B1" s="54"/>
      <c r="C1" s="54"/>
      <c r="D1" s="54"/>
      <c r="E1" s="54"/>
      <c r="F1" s="54"/>
      <c r="G1" s="54"/>
      <c r="H1" s="54"/>
      <c r="I1" s="54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3.9">
      <c r="A2" s="33"/>
    </row>
    <row r="3" spans="1:26" ht="27.75">
      <c r="A3" s="32" t="s">
        <v>124</v>
      </c>
      <c r="B3" s="2" t="s">
        <v>125</v>
      </c>
      <c r="C3" s="2" t="s">
        <v>126</v>
      </c>
      <c r="D3" s="2" t="s">
        <v>127</v>
      </c>
      <c r="E3" s="2" t="s">
        <v>69</v>
      </c>
      <c r="F3" s="2" t="s">
        <v>128</v>
      </c>
      <c r="G3" s="2" t="s">
        <v>129</v>
      </c>
      <c r="H3" s="2" t="s">
        <v>130</v>
      </c>
      <c r="I3" s="2" t="s">
        <v>131</v>
      </c>
    </row>
    <row r="4" spans="1:26" ht="13.9">
      <c r="A4" s="33">
        <v>1</v>
      </c>
      <c r="B4" s="21">
        <f t="shared" ref="B4:B35" si="0">IF(A4=60,"—",A4+1)</f>
        <v>2</v>
      </c>
      <c r="C4" s="21">
        <f t="shared" ref="C4:C35" si="1">IF(A4&lt;=10,100+(A4-1)*50,IF(A4&lt;=20,600+(A4-11)*100,IF(A4&lt;=30,1600+(A4-21)*100,IF(A4&lt;=35,3500,IF(A4&lt;=40,5000,IF(A4&lt;=45,6000,IF(A4&lt;=50,8000,IF(A4&lt;=55,10000,15000))))))))</f>
        <v>100</v>
      </c>
      <c r="D4" s="21">
        <v>0</v>
      </c>
      <c r="E4" s="21">
        <f t="shared" ref="E4:E35" si="2">ROUNDUP(D4/100,0)*100</f>
        <v>0</v>
      </c>
      <c r="F4" s="21">
        <f t="shared" ref="F4:F35" si="3">E4-D4</f>
        <v>0</v>
      </c>
      <c r="G4" s="21">
        <f t="shared" ref="G4:G35" si="4">INT(E4/500)</f>
        <v>0</v>
      </c>
      <c r="H4" s="21">
        <f t="shared" ref="H4:H35" si="5">MOD(E4,500)/100</f>
        <v>0</v>
      </c>
      <c r="I4" s="23" t="s">
        <v>132</v>
      </c>
    </row>
    <row r="5" spans="1:26" ht="13.9">
      <c r="A5" s="33">
        <v>2</v>
      </c>
      <c r="B5" s="21">
        <f t="shared" si="0"/>
        <v>3</v>
      </c>
      <c r="C5" s="21">
        <f t="shared" si="1"/>
        <v>150</v>
      </c>
      <c r="D5" s="21">
        <f t="shared" ref="D5:D36" si="6">D4+C4</f>
        <v>100</v>
      </c>
      <c r="E5" s="21">
        <f t="shared" si="2"/>
        <v>100</v>
      </c>
      <c r="F5" s="21">
        <f t="shared" si="3"/>
        <v>0</v>
      </c>
      <c r="G5" s="21">
        <f t="shared" si="4"/>
        <v>0</v>
      </c>
      <c r="H5" s="21">
        <f t="shared" si="5"/>
        <v>1</v>
      </c>
      <c r="I5" s="23"/>
    </row>
    <row r="6" spans="1:26" ht="13.9">
      <c r="A6" s="33">
        <v>3</v>
      </c>
      <c r="B6" s="21">
        <f t="shared" si="0"/>
        <v>4</v>
      </c>
      <c r="C6" s="21">
        <f t="shared" si="1"/>
        <v>200</v>
      </c>
      <c r="D6" s="21">
        <f t="shared" si="6"/>
        <v>250</v>
      </c>
      <c r="E6" s="21">
        <f t="shared" si="2"/>
        <v>300</v>
      </c>
      <c r="F6" s="21">
        <f t="shared" si="3"/>
        <v>50</v>
      </c>
      <c r="G6" s="21">
        <f t="shared" si="4"/>
        <v>0</v>
      </c>
      <c r="H6" s="21">
        <f t="shared" si="5"/>
        <v>3</v>
      </c>
      <c r="I6" s="23"/>
    </row>
    <row r="7" spans="1:26" ht="13.9">
      <c r="A7" s="33">
        <v>4</v>
      </c>
      <c r="B7" s="21">
        <f t="shared" si="0"/>
        <v>5</v>
      </c>
      <c r="C7" s="21">
        <f t="shared" si="1"/>
        <v>250</v>
      </c>
      <c r="D7" s="21">
        <f t="shared" si="6"/>
        <v>450</v>
      </c>
      <c r="E7" s="21">
        <f t="shared" si="2"/>
        <v>500</v>
      </c>
      <c r="F7" s="21">
        <f t="shared" si="3"/>
        <v>50</v>
      </c>
      <c r="G7" s="21">
        <f t="shared" si="4"/>
        <v>1</v>
      </c>
      <c r="H7" s="21">
        <f t="shared" si="5"/>
        <v>0</v>
      </c>
      <c r="I7" s="23"/>
    </row>
    <row r="8" spans="1:26" ht="13.9">
      <c r="A8" s="33">
        <v>5</v>
      </c>
      <c r="B8" s="21">
        <f t="shared" si="0"/>
        <v>6</v>
      </c>
      <c r="C8" s="21">
        <f t="shared" si="1"/>
        <v>300</v>
      </c>
      <c r="D8" s="21">
        <f t="shared" si="6"/>
        <v>700</v>
      </c>
      <c r="E8" s="21">
        <f t="shared" si="2"/>
        <v>700</v>
      </c>
      <c r="F8" s="21">
        <f t="shared" si="3"/>
        <v>0</v>
      </c>
      <c r="G8" s="21">
        <f t="shared" si="4"/>
        <v>1</v>
      </c>
      <c r="H8" s="21">
        <f t="shared" si="5"/>
        <v>2</v>
      </c>
      <c r="I8" s="23"/>
    </row>
    <row r="9" spans="1:26" ht="13.9">
      <c r="A9" s="33">
        <v>6</v>
      </c>
      <c r="B9" s="21">
        <f t="shared" si="0"/>
        <v>7</v>
      </c>
      <c r="C9" s="21">
        <f t="shared" si="1"/>
        <v>350</v>
      </c>
      <c r="D9" s="21">
        <f t="shared" si="6"/>
        <v>1000</v>
      </c>
      <c r="E9" s="21">
        <f t="shared" si="2"/>
        <v>1000</v>
      </c>
      <c r="F9" s="21">
        <f t="shared" si="3"/>
        <v>0</v>
      </c>
      <c r="G9" s="21">
        <f t="shared" si="4"/>
        <v>2</v>
      </c>
      <c r="H9" s="21">
        <f t="shared" si="5"/>
        <v>0</v>
      </c>
      <c r="I9" s="23"/>
    </row>
    <row r="10" spans="1:26" ht="13.9">
      <c r="A10" s="33">
        <v>7</v>
      </c>
      <c r="B10" s="21">
        <f t="shared" si="0"/>
        <v>8</v>
      </c>
      <c r="C10" s="21">
        <f t="shared" si="1"/>
        <v>400</v>
      </c>
      <c r="D10" s="21">
        <f t="shared" si="6"/>
        <v>1350</v>
      </c>
      <c r="E10" s="21">
        <f t="shared" si="2"/>
        <v>1400</v>
      </c>
      <c r="F10" s="21">
        <f t="shared" si="3"/>
        <v>50</v>
      </c>
      <c r="G10" s="21">
        <f t="shared" si="4"/>
        <v>2</v>
      </c>
      <c r="H10" s="21">
        <f t="shared" si="5"/>
        <v>4</v>
      </c>
      <c r="I10" s="23"/>
    </row>
    <row r="11" spans="1:26" ht="13.9">
      <c r="A11" s="33">
        <v>8</v>
      </c>
      <c r="B11" s="21">
        <f t="shared" si="0"/>
        <v>9</v>
      </c>
      <c r="C11" s="21">
        <f t="shared" si="1"/>
        <v>450</v>
      </c>
      <c r="D11" s="21">
        <f t="shared" si="6"/>
        <v>1750</v>
      </c>
      <c r="E11" s="21">
        <f t="shared" si="2"/>
        <v>1800</v>
      </c>
      <c r="F11" s="21">
        <f t="shared" si="3"/>
        <v>50</v>
      </c>
      <c r="G11" s="21">
        <f t="shared" si="4"/>
        <v>3</v>
      </c>
      <c r="H11" s="21">
        <f t="shared" si="5"/>
        <v>3</v>
      </c>
      <c r="I11" s="23"/>
    </row>
    <row r="12" spans="1:26" ht="13.9">
      <c r="A12" s="33">
        <v>9</v>
      </c>
      <c r="B12" s="21">
        <f t="shared" si="0"/>
        <v>10</v>
      </c>
      <c r="C12" s="21">
        <f t="shared" si="1"/>
        <v>500</v>
      </c>
      <c r="D12" s="21">
        <f t="shared" si="6"/>
        <v>2200</v>
      </c>
      <c r="E12" s="21">
        <f t="shared" si="2"/>
        <v>2200</v>
      </c>
      <c r="F12" s="21">
        <f t="shared" si="3"/>
        <v>0</v>
      </c>
      <c r="G12" s="21">
        <f t="shared" si="4"/>
        <v>4</v>
      </c>
      <c r="H12" s="21">
        <f t="shared" si="5"/>
        <v>2</v>
      </c>
      <c r="I12" s="23"/>
    </row>
    <row r="13" spans="1:26" ht="27.75">
      <c r="A13" s="33">
        <v>10</v>
      </c>
      <c r="B13" s="21">
        <f t="shared" si="0"/>
        <v>11</v>
      </c>
      <c r="C13" s="21">
        <f t="shared" si="1"/>
        <v>550</v>
      </c>
      <c r="D13" s="21">
        <f t="shared" si="6"/>
        <v>2700</v>
      </c>
      <c r="E13" s="21">
        <f t="shared" si="2"/>
        <v>2700</v>
      </c>
      <c r="F13" s="21">
        <f t="shared" si="3"/>
        <v>0</v>
      </c>
      <c r="G13" s="21">
        <f t="shared" si="4"/>
        <v>5</v>
      </c>
      <c r="H13" s="21">
        <f t="shared" si="5"/>
        <v>2</v>
      </c>
      <c r="I13" s="23" t="s">
        <v>133</v>
      </c>
    </row>
    <row r="14" spans="1:26" ht="13.9">
      <c r="A14" s="33">
        <v>11</v>
      </c>
      <c r="B14" s="21">
        <f t="shared" si="0"/>
        <v>12</v>
      </c>
      <c r="C14" s="21">
        <f t="shared" si="1"/>
        <v>600</v>
      </c>
      <c r="D14" s="21">
        <f t="shared" si="6"/>
        <v>3250</v>
      </c>
      <c r="E14" s="21">
        <f t="shared" si="2"/>
        <v>3300</v>
      </c>
      <c r="F14" s="21">
        <f t="shared" si="3"/>
        <v>50</v>
      </c>
      <c r="G14" s="21">
        <f t="shared" si="4"/>
        <v>6</v>
      </c>
      <c r="H14" s="21">
        <f t="shared" si="5"/>
        <v>3</v>
      </c>
      <c r="I14" s="23"/>
    </row>
    <row r="15" spans="1:26" ht="13.9">
      <c r="A15" s="33">
        <v>12</v>
      </c>
      <c r="B15" s="21">
        <f t="shared" si="0"/>
        <v>13</v>
      </c>
      <c r="C15" s="21">
        <f t="shared" si="1"/>
        <v>700</v>
      </c>
      <c r="D15" s="21">
        <f t="shared" si="6"/>
        <v>3850</v>
      </c>
      <c r="E15" s="21">
        <f t="shared" si="2"/>
        <v>3900</v>
      </c>
      <c r="F15" s="21">
        <f t="shared" si="3"/>
        <v>50</v>
      </c>
      <c r="G15" s="21">
        <f t="shared" si="4"/>
        <v>7</v>
      </c>
      <c r="H15" s="21">
        <f t="shared" si="5"/>
        <v>4</v>
      </c>
      <c r="I15" s="23"/>
    </row>
    <row r="16" spans="1:26" ht="13.9">
      <c r="A16" s="33">
        <v>13</v>
      </c>
      <c r="B16" s="21">
        <f t="shared" si="0"/>
        <v>14</v>
      </c>
      <c r="C16" s="21">
        <f t="shared" si="1"/>
        <v>800</v>
      </c>
      <c r="D16" s="21">
        <f t="shared" si="6"/>
        <v>4550</v>
      </c>
      <c r="E16" s="21">
        <f t="shared" si="2"/>
        <v>4600</v>
      </c>
      <c r="F16" s="21">
        <f t="shared" si="3"/>
        <v>50</v>
      </c>
      <c r="G16" s="21">
        <f t="shared" si="4"/>
        <v>9</v>
      </c>
      <c r="H16" s="21">
        <f t="shared" si="5"/>
        <v>1</v>
      </c>
      <c r="I16" s="23"/>
    </row>
    <row r="17" spans="1:9" ht="13.9">
      <c r="A17" s="33">
        <v>14</v>
      </c>
      <c r="B17" s="21">
        <f t="shared" si="0"/>
        <v>15</v>
      </c>
      <c r="C17" s="21">
        <f t="shared" si="1"/>
        <v>900</v>
      </c>
      <c r="D17" s="21">
        <f t="shared" si="6"/>
        <v>5350</v>
      </c>
      <c r="E17" s="21">
        <f t="shared" si="2"/>
        <v>5400</v>
      </c>
      <c r="F17" s="21">
        <f t="shared" si="3"/>
        <v>50</v>
      </c>
      <c r="G17" s="21">
        <f t="shared" si="4"/>
        <v>10</v>
      </c>
      <c r="H17" s="21">
        <f t="shared" si="5"/>
        <v>4</v>
      </c>
      <c r="I17" s="23"/>
    </row>
    <row r="18" spans="1:9" ht="13.9">
      <c r="A18" s="33">
        <v>15</v>
      </c>
      <c r="B18" s="21">
        <f t="shared" si="0"/>
        <v>16</v>
      </c>
      <c r="C18" s="21">
        <f t="shared" si="1"/>
        <v>1000</v>
      </c>
      <c r="D18" s="21">
        <f t="shared" si="6"/>
        <v>6250</v>
      </c>
      <c r="E18" s="21">
        <f t="shared" si="2"/>
        <v>6300</v>
      </c>
      <c r="F18" s="21">
        <f t="shared" si="3"/>
        <v>50</v>
      </c>
      <c r="G18" s="21">
        <f t="shared" si="4"/>
        <v>12</v>
      </c>
      <c r="H18" s="21">
        <f t="shared" si="5"/>
        <v>3</v>
      </c>
      <c r="I18" s="23"/>
    </row>
    <row r="19" spans="1:9" ht="13.9">
      <c r="A19" s="33">
        <v>16</v>
      </c>
      <c r="B19" s="21">
        <f t="shared" si="0"/>
        <v>17</v>
      </c>
      <c r="C19" s="21">
        <f t="shared" si="1"/>
        <v>1100</v>
      </c>
      <c r="D19" s="21">
        <f t="shared" si="6"/>
        <v>7250</v>
      </c>
      <c r="E19" s="21">
        <f t="shared" si="2"/>
        <v>7300</v>
      </c>
      <c r="F19" s="21">
        <f t="shared" si="3"/>
        <v>50</v>
      </c>
      <c r="G19" s="21">
        <f t="shared" si="4"/>
        <v>14</v>
      </c>
      <c r="H19" s="21">
        <f t="shared" si="5"/>
        <v>3</v>
      </c>
      <c r="I19" s="23"/>
    </row>
    <row r="20" spans="1:9" ht="13.9">
      <c r="A20" s="33">
        <v>17</v>
      </c>
      <c r="B20" s="21">
        <f t="shared" si="0"/>
        <v>18</v>
      </c>
      <c r="C20" s="21">
        <f t="shared" si="1"/>
        <v>1200</v>
      </c>
      <c r="D20" s="21">
        <f t="shared" si="6"/>
        <v>8350</v>
      </c>
      <c r="E20" s="21">
        <f t="shared" si="2"/>
        <v>8400</v>
      </c>
      <c r="F20" s="21">
        <f t="shared" si="3"/>
        <v>50</v>
      </c>
      <c r="G20" s="21">
        <f t="shared" si="4"/>
        <v>16</v>
      </c>
      <c r="H20" s="21">
        <f t="shared" si="5"/>
        <v>4</v>
      </c>
      <c r="I20" s="23"/>
    </row>
    <row r="21" spans="1:9" ht="13.9">
      <c r="A21" s="33">
        <v>18</v>
      </c>
      <c r="B21" s="21">
        <f t="shared" si="0"/>
        <v>19</v>
      </c>
      <c r="C21" s="21">
        <f t="shared" si="1"/>
        <v>1300</v>
      </c>
      <c r="D21" s="21">
        <f t="shared" si="6"/>
        <v>9550</v>
      </c>
      <c r="E21" s="21">
        <f t="shared" si="2"/>
        <v>9600</v>
      </c>
      <c r="F21" s="21">
        <f t="shared" si="3"/>
        <v>50</v>
      </c>
      <c r="G21" s="21">
        <f t="shared" si="4"/>
        <v>19</v>
      </c>
      <c r="H21" s="21">
        <f t="shared" si="5"/>
        <v>1</v>
      </c>
      <c r="I21" s="23"/>
    </row>
    <row r="22" spans="1:9" ht="13.9">
      <c r="A22" s="33">
        <v>19</v>
      </c>
      <c r="B22" s="21">
        <f t="shared" si="0"/>
        <v>20</v>
      </c>
      <c r="C22" s="21">
        <f t="shared" si="1"/>
        <v>1400</v>
      </c>
      <c r="D22" s="21">
        <f t="shared" si="6"/>
        <v>10850</v>
      </c>
      <c r="E22" s="21">
        <f t="shared" si="2"/>
        <v>10900</v>
      </c>
      <c r="F22" s="21">
        <f t="shared" si="3"/>
        <v>50</v>
      </c>
      <c r="G22" s="21">
        <f t="shared" si="4"/>
        <v>21</v>
      </c>
      <c r="H22" s="21">
        <f t="shared" si="5"/>
        <v>4</v>
      </c>
      <c r="I22" s="23"/>
    </row>
    <row r="23" spans="1:9" ht="27.75">
      <c r="A23" s="33">
        <v>20</v>
      </c>
      <c r="B23" s="21">
        <f t="shared" si="0"/>
        <v>21</v>
      </c>
      <c r="C23" s="21">
        <f t="shared" si="1"/>
        <v>1500</v>
      </c>
      <c r="D23" s="21">
        <f t="shared" si="6"/>
        <v>12250</v>
      </c>
      <c r="E23" s="21">
        <f t="shared" si="2"/>
        <v>12300</v>
      </c>
      <c r="F23" s="21">
        <f t="shared" si="3"/>
        <v>50</v>
      </c>
      <c r="G23" s="21">
        <f t="shared" si="4"/>
        <v>24</v>
      </c>
      <c r="H23" s="21">
        <f t="shared" si="5"/>
        <v>3</v>
      </c>
      <c r="I23" s="23" t="s">
        <v>134</v>
      </c>
    </row>
    <row r="24" spans="1:9" ht="13.9">
      <c r="A24" s="33">
        <v>21</v>
      </c>
      <c r="B24" s="21">
        <f t="shared" si="0"/>
        <v>22</v>
      </c>
      <c r="C24" s="21">
        <f t="shared" si="1"/>
        <v>1600</v>
      </c>
      <c r="D24" s="21">
        <f t="shared" si="6"/>
        <v>13750</v>
      </c>
      <c r="E24" s="21">
        <f t="shared" si="2"/>
        <v>13800</v>
      </c>
      <c r="F24" s="21">
        <f t="shared" si="3"/>
        <v>50</v>
      </c>
      <c r="G24" s="21">
        <f t="shared" si="4"/>
        <v>27</v>
      </c>
      <c r="H24" s="21">
        <f t="shared" si="5"/>
        <v>3</v>
      </c>
      <c r="I24" s="23"/>
    </row>
    <row r="25" spans="1:9" ht="13.9">
      <c r="A25" s="33">
        <v>22</v>
      </c>
      <c r="B25" s="21">
        <f t="shared" si="0"/>
        <v>23</v>
      </c>
      <c r="C25" s="21">
        <f t="shared" si="1"/>
        <v>1700</v>
      </c>
      <c r="D25" s="21">
        <f t="shared" si="6"/>
        <v>15350</v>
      </c>
      <c r="E25" s="21">
        <f t="shared" si="2"/>
        <v>15400</v>
      </c>
      <c r="F25" s="21">
        <f t="shared" si="3"/>
        <v>50</v>
      </c>
      <c r="G25" s="21">
        <f t="shared" si="4"/>
        <v>30</v>
      </c>
      <c r="H25" s="21">
        <f t="shared" si="5"/>
        <v>4</v>
      </c>
      <c r="I25" s="23"/>
    </row>
    <row r="26" spans="1:9" ht="13.9">
      <c r="A26" s="33">
        <v>23</v>
      </c>
      <c r="B26" s="21">
        <f t="shared" si="0"/>
        <v>24</v>
      </c>
      <c r="C26" s="21">
        <f t="shared" si="1"/>
        <v>1800</v>
      </c>
      <c r="D26" s="21">
        <f t="shared" si="6"/>
        <v>17050</v>
      </c>
      <c r="E26" s="21">
        <f t="shared" si="2"/>
        <v>17100</v>
      </c>
      <c r="F26" s="21">
        <f t="shared" si="3"/>
        <v>50</v>
      </c>
      <c r="G26" s="21">
        <f t="shared" si="4"/>
        <v>34</v>
      </c>
      <c r="H26" s="21">
        <f t="shared" si="5"/>
        <v>1</v>
      </c>
      <c r="I26" s="23"/>
    </row>
    <row r="27" spans="1:9" ht="13.9">
      <c r="A27" s="33">
        <v>24</v>
      </c>
      <c r="B27" s="21">
        <f t="shared" si="0"/>
        <v>25</v>
      </c>
      <c r="C27" s="21">
        <f t="shared" si="1"/>
        <v>1900</v>
      </c>
      <c r="D27" s="21">
        <f t="shared" si="6"/>
        <v>18850</v>
      </c>
      <c r="E27" s="21">
        <f t="shared" si="2"/>
        <v>18900</v>
      </c>
      <c r="F27" s="21">
        <f t="shared" si="3"/>
        <v>50</v>
      </c>
      <c r="G27" s="21">
        <f t="shared" si="4"/>
        <v>37</v>
      </c>
      <c r="H27" s="21">
        <f t="shared" si="5"/>
        <v>4</v>
      </c>
      <c r="I27" s="23"/>
    </row>
    <row r="28" spans="1:9" ht="13.9">
      <c r="A28" s="33">
        <v>25</v>
      </c>
      <c r="B28" s="21">
        <f t="shared" si="0"/>
        <v>26</v>
      </c>
      <c r="C28" s="21">
        <f t="shared" si="1"/>
        <v>2000</v>
      </c>
      <c r="D28" s="21">
        <f t="shared" si="6"/>
        <v>20750</v>
      </c>
      <c r="E28" s="21">
        <f t="shared" si="2"/>
        <v>20800</v>
      </c>
      <c r="F28" s="21">
        <f t="shared" si="3"/>
        <v>50</v>
      </c>
      <c r="G28" s="21">
        <f t="shared" si="4"/>
        <v>41</v>
      </c>
      <c r="H28" s="21">
        <f t="shared" si="5"/>
        <v>3</v>
      </c>
      <c r="I28" s="23"/>
    </row>
    <row r="29" spans="1:9" ht="13.9">
      <c r="A29" s="33">
        <v>26</v>
      </c>
      <c r="B29" s="21">
        <f t="shared" si="0"/>
        <v>27</v>
      </c>
      <c r="C29" s="21">
        <f t="shared" si="1"/>
        <v>2100</v>
      </c>
      <c r="D29" s="21">
        <f t="shared" si="6"/>
        <v>22750</v>
      </c>
      <c r="E29" s="21">
        <f t="shared" si="2"/>
        <v>22800</v>
      </c>
      <c r="F29" s="21">
        <f t="shared" si="3"/>
        <v>50</v>
      </c>
      <c r="G29" s="21">
        <f t="shared" si="4"/>
        <v>45</v>
      </c>
      <c r="H29" s="21">
        <f t="shared" si="5"/>
        <v>3</v>
      </c>
      <c r="I29" s="23"/>
    </row>
    <row r="30" spans="1:9" ht="13.9">
      <c r="A30" s="33">
        <v>27</v>
      </c>
      <c r="B30" s="21">
        <f t="shared" si="0"/>
        <v>28</v>
      </c>
      <c r="C30" s="21">
        <f t="shared" si="1"/>
        <v>2200</v>
      </c>
      <c r="D30" s="21">
        <f t="shared" si="6"/>
        <v>24850</v>
      </c>
      <c r="E30" s="21">
        <f t="shared" si="2"/>
        <v>24900</v>
      </c>
      <c r="F30" s="21">
        <f t="shared" si="3"/>
        <v>50</v>
      </c>
      <c r="G30" s="21">
        <f t="shared" si="4"/>
        <v>49</v>
      </c>
      <c r="H30" s="21">
        <f t="shared" si="5"/>
        <v>4</v>
      </c>
      <c r="I30" s="23"/>
    </row>
    <row r="31" spans="1:9" ht="13.9">
      <c r="A31" s="33">
        <v>28</v>
      </c>
      <c r="B31" s="21">
        <f t="shared" si="0"/>
        <v>29</v>
      </c>
      <c r="C31" s="21">
        <f t="shared" si="1"/>
        <v>2300</v>
      </c>
      <c r="D31" s="21">
        <f t="shared" si="6"/>
        <v>27050</v>
      </c>
      <c r="E31" s="21">
        <f t="shared" si="2"/>
        <v>27100</v>
      </c>
      <c r="F31" s="21">
        <f t="shared" si="3"/>
        <v>50</v>
      </c>
      <c r="G31" s="21">
        <f t="shared" si="4"/>
        <v>54</v>
      </c>
      <c r="H31" s="21">
        <f t="shared" si="5"/>
        <v>1</v>
      </c>
      <c r="I31" s="23"/>
    </row>
    <row r="32" spans="1:9" ht="13.9">
      <c r="A32" s="33">
        <v>29</v>
      </c>
      <c r="B32" s="21">
        <f t="shared" si="0"/>
        <v>30</v>
      </c>
      <c r="C32" s="21">
        <f t="shared" si="1"/>
        <v>2400</v>
      </c>
      <c r="D32" s="21">
        <f t="shared" si="6"/>
        <v>29350</v>
      </c>
      <c r="E32" s="21">
        <f t="shared" si="2"/>
        <v>29400</v>
      </c>
      <c r="F32" s="21">
        <f t="shared" si="3"/>
        <v>50</v>
      </c>
      <c r="G32" s="21">
        <f t="shared" si="4"/>
        <v>58</v>
      </c>
      <c r="H32" s="21">
        <f t="shared" si="5"/>
        <v>4</v>
      </c>
      <c r="I32" s="23"/>
    </row>
    <row r="33" spans="1:9" ht="27.75">
      <c r="A33" s="33">
        <v>30</v>
      </c>
      <c r="B33" s="21">
        <f t="shared" si="0"/>
        <v>31</v>
      </c>
      <c r="C33" s="21">
        <f t="shared" si="1"/>
        <v>2500</v>
      </c>
      <c r="D33" s="21">
        <f t="shared" si="6"/>
        <v>31750</v>
      </c>
      <c r="E33" s="21">
        <f t="shared" si="2"/>
        <v>31800</v>
      </c>
      <c r="F33" s="21">
        <f t="shared" si="3"/>
        <v>50</v>
      </c>
      <c r="G33" s="21">
        <f t="shared" si="4"/>
        <v>63</v>
      </c>
      <c r="H33" s="21">
        <f t="shared" si="5"/>
        <v>3</v>
      </c>
      <c r="I33" s="23" t="s">
        <v>135</v>
      </c>
    </row>
    <row r="34" spans="1:9" ht="13.9">
      <c r="A34" s="33">
        <v>31</v>
      </c>
      <c r="B34" s="21">
        <f t="shared" si="0"/>
        <v>32</v>
      </c>
      <c r="C34" s="21">
        <f t="shared" si="1"/>
        <v>3500</v>
      </c>
      <c r="D34" s="21">
        <f t="shared" si="6"/>
        <v>34250</v>
      </c>
      <c r="E34" s="21">
        <f t="shared" si="2"/>
        <v>34300</v>
      </c>
      <c r="F34" s="21">
        <f t="shared" si="3"/>
        <v>50</v>
      </c>
      <c r="G34" s="21">
        <f t="shared" si="4"/>
        <v>68</v>
      </c>
      <c r="H34" s="21">
        <f t="shared" si="5"/>
        <v>3</v>
      </c>
      <c r="I34" s="23"/>
    </row>
    <row r="35" spans="1:9" ht="13.9">
      <c r="A35" s="33">
        <v>32</v>
      </c>
      <c r="B35" s="21">
        <f t="shared" si="0"/>
        <v>33</v>
      </c>
      <c r="C35" s="21">
        <f t="shared" si="1"/>
        <v>3500</v>
      </c>
      <c r="D35" s="21">
        <f t="shared" si="6"/>
        <v>37750</v>
      </c>
      <c r="E35" s="21">
        <f t="shared" si="2"/>
        <v>37800</v>
      </c>
      <c r="F35" s="21">
        <f t="shared" si="3"/>
        <v>50</v>
      </c>
      <c r="G35" s="21">
        <f t="shared" si="4"/>
        <v>75</v>
      </c>
      <c r="H35" s="21">
        <f t="shared" si="5"/>
        <v>3</v>
      </c>
      <c r="I35" s="23"/>
    </row>
    <row r="36" spans="1:9" ht="13.9">
      <c r="A36" s="33">
        <v>33</v>
      </c>
      <c r="B36" s="21">
        <f t="shared" ref="B36:B67" si="7">IF(A36=60,"—",A36+1)</f>
        <v>34</v>
      </c>
      <c r="C36" s="21">
        <f t="shared" ref="C36:C63" si="8">IF(A36&lt;=10,100+(A36-1)*50,IF(A36&lt;=20,600+(A36-11)*100,IF(A36&lt;=30,1600+(A36-21)*100,IF(A36&lt;=35,3500,IF(A36&lt;=40,5000,IF(A36&lt;=45,6000,IF(A36&lt;=50,8000,IF(A36&lt;=55,10000,15000))))))))</f>
        <v>3500</v>
      </c>
      <c r="D36" s="21">
        <f t="shared" si="6"/>
        <v>41250</v>
      </c>
      <c r="E36" s="21">
        <f t="shared" ref="E36:E67" si="9">ROUNDUP(D36/100,0)*100</f>
        <v>41300</v>
      </c>
      <c r="F36" s="21">
        <f t="shared" ref="F36:F67" si="10">E36-D36</f>
        <v>50</v>
      </c>
      <c r="G36" s="21">
        <f t="shared" ref="G36:G63" si="11">INT(E36/500)</f>
        <v>82</v>
      </c>
      <c r="H36" s="21">
        <f t="shared" ref="H36:H63" si="12">MOD(E36,500)/100</f>
        <v>3</v>
      </c>
      <c r="I36" s="23"/>
    </row>
    <row r="37" spans="1:9" ht="13.9">
      <c r="A37" s="33">
        <v>34</v>
      </c>
      <c r="B37" s="21">
        <f t="shared" si="7"/>
        <v>35</v>
      </c>
      <c r="C37" s="21">
        <f t="shared" si="8"/>
        <v>3500</v>
      </c>
      <c r="D37" s="21">
        <f t="shared" ref="D37:D63" si="13">D36+C36</f>
        <v>44750</v>
      </c>
      <c r="E37" s="21">
        <f t="shared" si="9"/>
        <v>44800</v>
      </c>
      <c r="F37" s="21">
        <f t="shared" si="10"/>
        <v>50</v>
      </c>
      <c r="G37" s="21">
        <f t="shared" si="11"/>
        <v>89</v>
      </c>
      <c r="H37" s="21">
        <f t="shared" si="12"/>
        <v>3</v>
      </c>
      <c r="I37" s="23"/>
    </row>
    <row r="38" spans="1:9" ht="13.9">
      <c r="A38" s="33">
        <v>35</v>
      </c>
      <c r="B38" s="21">
        <f t="shared" si="7"/>
        <v>36</v>
      </c>
      <c r="C38" s="21">
        <f t="shared" si="8"/>
        <v>3500</v>
      </c>
      <c r="D38" s="21">
        <f t="shared" si="13"/>
        <v>48250</v>
      </c>
      <c r="E38" s="21">
        <f t="shared" si="9"/>
        <v>48300</v>
      </c>
      <c r="F38" s="21">
        <f t="shared" si="10"/>
        <v>50</v>
      </c>
      <c r="G38" s="21">
        <f t="shared" si="11"/>
        <v>96</v>
      </c>
      <c r="H38" s="21">
        <f t="shared" si="12"/>
        <v>3</v>
      </c>
      <c r="I38" s="23"/>
    </row>
    <row r="39" spans="1:9" ht="13.9">
      <c r="A39" s="33">
        <v>36</v>
      </c>
      <c r="B39" s="21">
        <f t="shared" si="7"/>
        <v>37</v>
      </c>
      <c r="C39" s="21">
        <f t="shared" si="8"/>
        <v>5000</v>
      </c>
      <c r="D39" s="21">
        <f t="shared" si="13"/>
        <v>51750</v>
      </c>
      <c r="E39" s="21">
        <f t="shared" si="9"/>
        <v>51800</v>
      </c>
      <c r="F39" s="21">
        <f t="shared" si="10"/>
        <v>50</v>
      </c>
      <c r="G39" s="21">
        <f t="shared" si="11"/>
        <v>103</v>
      </c>
      <c r="H39" s="21">
        <f t="shared" si="12"/>
        <v>3</v>
      </c>
      <c r="I39" s="23"/>
    </row>
    <row r="40" spans="1:9" ht="13.9">
      <c r="A40" s="33">
        <v>37</v>
      </c>
      <c r="B40" s="21">
        <f t="shared" si="7"/>
        <v>38</v>
      </c>
      <c r="C40" s="21">
        <f t="shared" si="8"/>
        <v>5000</v>
      </c>
      <c r="D40" s="21">
        <f t="shared" si="13"/>
        <v>56750</v>
      </c>
      <c r="E40" s="21">
        <f t="shared" si="9"/>
        <v>56800</v>
      </c>
      <c r="F40" s="21">
        <f t="shared" si="10"/>
        <v>50</v>
      </c>
      <c r="G40" s="21">
        <f t="shared" si="11"/>
        <v>113</v>
      </c>
      <c r="H40" s="21">
        <f t="shared" si="12"/>
        <v>3</v>
      </c>
      <c r="I40" s="23"/>
    </row>
    <row r="41" spans="1:9" ht="13.9">
      <c r="A41" s="33">
        <v>38</v>
      </c>
      <c r="B41" s="21">
        <f t="shared" si="7"/>
        <v>39</v>
      </c>
      <c r="C41" s="21">
        <f t="shared" si="8"/>
        <v>5000</v>
      </c>
      <c r="D41" s="21">
        <f t="shared" si="13"/>
        <v>61750</v>
      </c>
      <c r="E41" s="21">
        <f t="shared" si="9"/>
        <v>61800</v>
      </c>
      <c r="F41" s="21">
        <f t="shared" si="10"/>
        <v>50</v>
      </c>
      <c r="G41" s="21">
        <f t="shared" si="11"/>
        <v>123</v>
      </c>
      <c r="H41" s="21">
        <f t="shared" si="12"/>
        <v>3</v>
      </c>
      <c r="I41" s="23"/>
    </row>
    <row r="42" spans="1:9" ht="13.9">
      <c r="A42" s="33">
        <v>39</v>
      </c>
      <c r="B42" s="21">
        <f t="shared" si="7"/>
        <v>40</v>
      </c>
      <c r="C42" s="21">
        <f t="shared" si="8"/>
        <v>5000</v>
      </c>
      <c r="D42" s="21">
        <f t="shared" si="13"/>
        <v>66750</v>
      </c>
      <c r="E42" s="21">
        <f t="shared" si="9"/>
        <v>66800</v>
      </c>
      <c r="F42" s="21">
        <f t="shared" si="10"/>
        <v>50</v>
      </c>
      <c r="G42" s="21">
        <f t="shared" si="11"/>
        <v>133</v>
      </c>
      <c r="H42" s="21">
        <f t="shared" si="12"/>
        <v>3</v>
      </c>
      <c r="I42" s="23"/>
    </row>
    <row r="43" spans="1:9" ht="27.75">
      <c r="A43" s="33">
        <v>40</v>
      </c>
      <c r="B43" s="21">
        <f t="shared" si="7"/>
        <v>41</v>
      </c>
      <c r="C43" s="21">
        <f t="shared" si="8"/>
        <v>5000</v>
      </c>
      <c r="D43" s="21">
        <f t="shared" si="13"/>
        <v>71750</v>
      </c>
      <c r="E43" s="21">
        <f t="shared" si="9"/>
        <v>71800</v>
      </c>
      <c r="F43" s="21">
        <f t="shared" si="10"/>
        <v>50</v>
      </c>
      <c r="G43" s="21">
        <f t="shared" si="11"/>
        <v>143</v>
      </c>
      <c r="H43" s="21">
        <f t="shared" si="12"/>
        <v>3</v>
      </c>
      <c r="I43" s="23" t="s">
        <v>136</v>
      </c>
    </row>
    <row r="44" spans="1:9" ht="13.9">
      <c r="A44" s="33">
        <v>41</v>
      </c>
      <c r="B44" s="21">
        <f t="shared" si="7"/>
        <v>42</v>
      </c>
      <c r="C44" s="21">
        <f t="shared" si="8"/>
        <v>6000</v>
      </c>
      <c r="D44" s="21">
        <f t="shared" si="13"/>
        <v>76750</v>
      </c>
      <c r="E44" s="21">
        <f t="shared" si="9"/>
        <v>76800</v>
      </c>
      <c r="F44" s="21">
        <f t="shared" si="10"/>
        <v>50</v>
      </c>
      <c r="G44" s="21">
        <f t="shared" si="11"/>
        <v>153</v>
      </c>
      <c r="H44" s="21">
        <f t="shared" si="12"/>
        <v>3</v>
      </c>
      <c r="I44" s="23"/>
    </row>
    <row r="45" spans="1:9" ht="13.9">
      <c r="A45" s="33">
        <v>42</v>
      </c>
      <c r="B45" s="21">
        <f t="shared" si="7"/>
        <v>43</v>
      </c>
      <c r="C45" s="21">
        <f t="shared" si="8"/>
        <v>6000</v>
      </c>
      <c r="D45" s="21">
        <f t="shared" si="13"/>
        <v>82750</v>
      </c>
      <c r="E45" s="21">
        <f t="shared" si="9"/>
        <v>82800</v>
      </c>
      <c r="F45" s="21">
        <f t="shared" si="10"/>
        <v>50</v>
      </c>
      <c r="G45" s="21">
        <f t="shared" si="11"/>
        <v>165</v>
      </c>
      <c r="H45" s="21">
        <f t="shared" si="12"/>
        <v>3</v>
      </c>
      <c r="I45" s="23"/>
    </row>
    <row r="46" spans="1:9" ht="13.9">
      <c r="A46" s="33">
        <v>43</v>
      </c>
      <c r="B46" s="21">
        <f t="shared" si="7"/>
        <v>44</v>
      </c>
      <c r="C46" s="21">
        <f t="shared" si="8"/>
        <v>6000</v>
      </c>
      <c r="D46" s="21">
        <f t="shared" si="13"/>
        <v>88750</v>
      </c>
      <c r="E46" s="21">
        <f t="shared" si="9"/>
        <v>88800</v>
      </c>
      <c r="F46" s="21">
        <f t="shared" si="10"/>
        <v>50</v>
      </c>
      <c r="G46" s="21">
        <f t="shared" si="11"/>
        <v>177</v>
      </c>
      <c r="H46" s="21">
        <f t="shared" si="12"/>
        <v>3</v>
      </c>
      <c r="I46" s="23"/>
    </row>
    <row r="47" spans="1:9" ht="13.9">
      <c r="A47" s="33">
        <v>44</v>
      </c>
      <c r="B47" s="21">
        <f t="shared" si="7"/>
        <v>45</v>
      </c>
      <c r="C47" s="21">
        <f t="shared" si="8"/>
        <v>6000</v>
      </c>
      <c r="D47" s="21">
        <f t="shared" si="13"/>
        <v>94750</v>
      </c>
      <c r="E47" s="21">
        <f t="shared" si="9"/>
        <v>94800</v>
      </c>
      <c r="F47" s="21">
        <f t="shared" si="10"/>
        <v>50</v>
      </c>
      <c r="G47" s="21">
        <f t="shared" si="11"/>
        <v>189</v>
      </c>
      <c r="H47" s="21">
        <f t="shared" si="12"/>
        <v>3</v>
      </c>
      <c r="I47" s="23"/>
    </row>
    <row r="48" spans="1:9" ht="13.9">
      <c r="A48" s="33">
        <v>45</v>
      </c>
      <c r="B48" s="21">
        <f t="shared" si="7"/>
        <v>46</v>
      </c>
      <c r="C48" s="21">
        <f t="shared" si="8"/>
        <v>6000</v>
      </c>
      <c r="D48" s="21">
        <f t="shared" si="13"/>
        <v>100750</v>
      </c>
      <c r="E48" s="21">
        <f t="shared" si="9"/>
        <v>100800</v>
      </c>
      <c r="F48" s="21">
        <f t="shared" si="10"/>
        <v>50</v>
      </c>
      <c r="G48" s="21">
        <f t="shared" si="11"/>
        <v>201</v>
      </c>
      <c r="H48" s="21">
        <f t="shared" si="12"/>
        <v>3</v>
      </c>
      <c r="I48" s="23"/>
    </row>
    <row r="49" spans="1:9" ht="13.9">
      <c r="A49" s="33">
        <v>46</v>
      </c>
      <c r="B49" s="21">
        <f t="shared" si="7"/>
        <v>47</v>
      </c>
      <c r="C49" s="21">
        <f t="shared" si="8"/>
        <v>8000</v>
      </c>
      <c r="D49" s="21">
        <f t="shared" si="13"/>
        <v>106750</v>
      </c>
      <c r="E49" s="21">
        <f t="shared" si="9"/>
        <v>106800</v>
      </c>
      <c r="F49" s="21">
        <f t="shared" si="10"/>
        <v>50</v>
      </c>
      <c r="G49" s="21">
        <f t="shared" si="11"/>
        <v>213</v>
      </c>
      <c r="H49" s="21">
        <f t="shared" si="12"/>
        <v>3</v>
      </c>
      <c r="I49" s="23"/>
    </row>
    <row r="50" spans="1:9" ht="13.9">
      <c r="A50" s="33">
        <v>47</v>
      </c>
      <c r="B50" s="21">
        <f t="shared" si="7"/>
        <v>48</v>
      </c>
      <c r="C50" s="21">
        <f t="shared" si="8"/>
        <v>8000</v>
      </c>
      <c r="D50" s="21">
        <f t="shared" si="13"/>
        <v>114750</v>
      </c>
      <c r="E50" s="21">
        <f t="shared" si="9"/>
        <v>114800</v>
      </c>
      <c r="F50" s="21">
        <f t="shared" si="10"/>
        <v>50</v>
      </c>
      <c r="G50" s="21">
        <f t="shared" si="11"/>
        <v>229</v>
      </c>
      <c r="H50" s="21">
        <f t="shared" si="12"/>
        <v>3</v>
      </c>
      <c r="I50" s="23"/>
    </row>
    <row r="51" spans="1:9" ht="13.9">
      <c r="A51" s="33">
        <v>48</v>
      </c>
      <c r="B51" s="21">
        <f t="shared" si="7"/>
        <v>49</v>
      </c>
      <c r="C51" s="21">
        <f t="shared" si="8"/>
        <v>8000</v>
      </c>
      <c r="D51" s="21">
        <f t="shared" si="13"/>
        <v>122750</v>
      </c>
      <c r="E51" s="21">
        <f t="shared" si="9"/>
        <v>122800</v>
      </c>
      <c r="F51" s="21">
        <f t="shared" si="10"/>
        <v>50</v>
      </c>
      <c r="G51" s="21">
        <f t="shared" si="11"/>
        <v>245</v>
      </c>
      <c r="H51" s="21">
        <f t="shared" si="12"/>
        <v>3</v>
      </c>
      <c r="I51" s="23"/>
    </row>
    <row r="52" spans="1:9" ht="13.9">
      <c r="A52" s="33">
        <v>49</v>
      </c>
      <c r="B52" s="21">
        <f t="shared" si="7"/>
        <v>50</v>
      </c>
      <c r="C52" s="21">
        <f t="shared" si="8"/>
        <v>8000</v>
      </c>
      <c r="D52" s="21">
        <f t="shared" si="13"/>
        <v>130750</v>
      </c>
      <c r="E52" s="21">
        <f t="shared" si="9"/>
        <v>130800</v>
      </c>
      <c r="F52" s="21">
        <f t="shared" si="10"/>
        <v>50</v>
      </c>
      <c r="G52" s="21">
        <f t="shared" si="11"/>
        <v>261</v>
      </c>
      <c r="H52" s="21">
        <f t="shared" si="12"/>
        <v>3</v>
      </c>
      <c r="I52" s="23"/>
    </row>
    <row r="53" spans="1:9" ht="27.75">
      <c r="A53" s="33">
        <v>50</v>
      </c>
      <c r="B53" s="21">
        <f t="shared" si="7"/>
        <v>51</v>
      </c>
      <c r="C53" s="21">
        <f t="shared" si="8"/>
        <v>8000</v>
      </c>
      <c r="D53" s="21">
        <f t="shared" si="13"/>
        <v>138750</v>
      </c>
      <c r="E53" s="21">
        <f t="shared" si="9"/>
        <v>138800</v>
      </c>
      <c r="F53" s="21">
        <f t="shared" si="10"/>
        <v>50</v>
      </c>
      <c r="G53" s="21">
        <f t="shared" si="11"/>
        <v>277</v>
      </c>
      <c r="H53" s="21">
        <f t="shared" si="12"/>
        <v>3</v>
      </c>
      <c r="I53" s="23" t="s">
        <v>137</v>
      </c>
    </row>
    <row r="54" spans="1:9" ht="13.9">
      <c r="A54" s="33">
        <v>51</v>
      </c>
      <c r="B54" s="21">
        <f t="shared" si="7"/>
        <v>52</v>
      </c>
      <c r="C54" s="21">
        <f t="shared" si="8"/>
        <v>10000</v>
      </c>
      <c r="D54" s="21">
        <f t="shared" si="13"/>
        <v>146750</v>
      </c>
      <c r="E54" s="21">
        <f t="shared" si="9"/>
        <v>146800</v>
      </c>
      <c r="F54" s="21">
        <f t="shared" si="10"/>
        <v>50</v>
      </c>
      <c r="G54" s="21">
        <f t="shared" si="11"/>
        <v>293</v>
      </c>
      <c r="H54" s="21">
        <f t="shared" si="12"/>
        <v>3</v>
      </c>
      <c r="I54" s="23"/>
    </row>
    <row r="55" spans="1:9" ht="13.9">
      <c r="A55" s="33">
        <v>52</v>
      </c>
      <c r="B55" s="21">
        <f t="shared" si="7"/>
        <v>53</v>
      </c>
      <c r="C55" s="21">
        <f t="shared" si="8"/>
        <v>10000</v>
      </c>
      <c r="D55" s="21">
        <f t="shared" si="13"/>
        <v>156750</v>
      </c>
      <c r="E55" s="21">
        <f t="shared" si="9"/>
        <v>156800</v>
      </c>
      <c r="F55" s="21">
        <f t="shared" si="10"/>
        <v>50</v>
      </c>
      <c r="G55" s="21">
        <f t="shared" si="11"/>
        <v>313</v>
      </c>
      <c r="H55" s="21">
        <f t="shared" si="12"/>
        <v>3</v>
      </c>
      <c r="I55" s="23"/>
    </row>
    <row r="56" spans="1:9" ht="13.9">
      <c r="A56" s="33">
        <v>53</v>
      </c>
      <c r="B56" s="21">
        <f t="shared" si="7"/>
        <v>54</v>
      </c>
      <c r="C56" s="21">
        <f t="shared" si="8"/>
        <v>10000</v>
      </c>
      <c r="D56" s="21">
        <f t="shared" si="13"/>
        <v>166750</v>
      </c>
      <c r="E56" s="21">
        <f t="shared" si="9"/>
        <v>166800</v>
      </c>
      <c r="F56" s="21">
        <f t="shared" si="10"/>
        <v>50</v>
      </c>
      <c r="G56" s="21">
        <f t="shared" si="11"/>
        <v>333</v>
      </c>
      <c r="H56" s="21">
        <f t="shared" si="12"/>
        <v>3</v>
      </c>
      <c r="I56" s="23"/>
    </row>
    <row r="57" spans="1:9" ht="13.9">
      <c r="A57" s="33">
        <v>54</v>
      </c>
      <c r="B57" s="21">
        <f t="shared" si="7"/>
        <v>55</v>
      </c>
      <c r="C57" s="21">
        <f t="shared" si="8"/>
        <v>10000</v>
      </c>
      <c r="D57" s="21">
        <f t="shared" si="13"/>
        <v>176750</v>
      </c>
      <c r="E57" s="21">
        <f t="shared" si="9"/>
        <v>176800</v>
      </c>
      <c r="F57" s="21">
        <f t="shared" si="10"/>
        <v>50</v>
      </c>
      <c r="G57" s="21">
        <f t="shared" si="11"/>
        <v>353</v>
      </c>
      <c r="H57" s="21">
        <f t="shared" si="12"/>
        <v>3</v>
      </c>
      <c r="I57" s="23"/>
    </row>
    <row r="58" spans="1:9" ht="13.9">
      <c r="A58" s="33">
        <v>55</v>
      </c>
      <c r="B58" s="21">
        <f t="shared" si="7"/>
        <v>56</v>
      </c>
      <c r="C58" s="21">
        <f t="shared" si="8"/>
        <v>10000</v>
      </c>
      <c r="D58" s="21">
        <f t="shared" si="13"/>
        <v>186750</v>
      </c>
      <c r="E58" s="21">
        <f t="shared" si="9"/>
        <v>186800</v>
      </c>
      <c r="F58" s="21">
        <f t="shared" si="10"/>
        <v>50</v>
      </c>
      <c r="G58" s="21">
        <f t="shared" si="11"/>
        <v>373</v>
      </c>
      <c r="H58" s="21">
        <f t="shared" si="12"/>
        <v>3</v>
      </c>
      <c r="I58" s="23"/>
    </row>
    <row r="59" spans="1:9" ht="13.9">
      <c r="A59" s="33">
        <v>56</v>
      </c>
      <c r="B59" s="21">
        <f t="shared" si="7"/>
        <v>57</v>
      </c>
      <c r="C59" s="21">
        <f t="shared" si="8"/>
        <v>15000</v>
      </c>
      <c r="D59" s="21">
        <f t="shared" si="13"/>
        <v>196750</v>
      </c>
      <c r="E59" s="21">
        <f t="shared" si="9"/>
        <v>196800</v>
      </c>
      <c r="F59" s="21">
        <f t="shared" si="10"/>
        <v>50</v>
      </c>
      <c r="G59" s="21">
        <f t="shared" si="11"/>
        <v>393</v>
      </c>
      <c r="H59" s="21">
        <f t="shared" si="12"/>
        <v>3</v>
      </c>
      <c r="I59" s="23"/>
    </row>
    <row r="60" spans="1:9" ht="13.9">
      <c r="A60" s="33">
        <v>57</v>
      </c>
      <c r="B60" s="21">
        <f t="shared" si="7"/>
        <v>58</v>
      </c>
      <c r="C60" s="21">
        <f t="shared" si="8"/>
        <v>15000</v>
      </c>
      <c r="D60" s="21">
        <f t="shared" si="13"/>
        <v>211750</v>
      </c>
      <c r="E60" s="21">
        <f t="shared" si="9"/>
        <v>211800</v>
      </c>
      <c r="F60" s="21">
        <f t="shared" si="10"/>
        <v>50</v>
      </c>
      <c r="G60" s="21">
        <f t="shared" si="11"/>
        <v>423</v>
      </c>
      <c r="H60" s="21">
        <f t="shared" si="12"/>
        <v>3</v>
      </c>
      <c r="I60" s="23"/>
    </row>
    <row r="61" spans="1:9" ht="13.9">
      <c r="A61" s="33">
        <v>58</v>
      </c>
      <c r="B61" s="21">
        <f t="shared" si="7"/>
        <v>59</v>
      </c>
      <c r="C61" s="21">
        <f t="shared" si="8"/>
        <v>15000</v>
      </c>
      <c r="D61" s="21">
        <f t="shared" si="13"/>
        <v>226750</v>
      </c>
      <c r="E61" s="21">
        <f t="shared" si="9"/>
        <v>226800</v>
      </c>
      <c r="F61" s="21">
        <f t="shared" si="10"/>
        <v>50</v>
      </c>
      <c r="G61" s="21">
        <f t="shared" si="11"/>
        <v>453</v>
      </c>
      <c r="H61" s="21">
        <f t="shared" si="12"/>
        <v>3</v>
      </c>
      <c r="I61" s="23"/>
    </row>
    <row r="62" spans="1:9" ht="13.9">
      <c r="A62" s="33">
        <v>59</v>
      </c>
      <c r="B62" s="21">
        <f t="shared" si="7"/>
        <v>60</v>
      </c>
      <c r="C62" s="21">
        <f t="shared" si="8"/>
        <v>15000</v>
      </c>
      <c r="D62" s="21">
        <f t="shared" si="13"/>
        <v>241750</v>
      </c>
      <c r="E62" s="21">
        <f t="shared" si="9"/>
        <v>241800</v>
      </c>
      <c r="F62" s="21">
        <f t="shared" si="10"/>
        <v>50</v>
      </c>
      <c r="G62" s="21">
        <f t="shared" si="11"/>
        <v>483</v>
      </c>
      <c r="H62" s="21">
        <f t="shared" si="12"/>
        <v>3</v>
      </c>
      <c r="I62" s="23"/>
    </row>
    <row r="63" spans="1:9" ht="27.75">
      <c r="A63" s="40">
        <v>60</v>
      </c>
      <c r="B63" s="22" t="str">
        <f t="shared" si="7"/>
        <v>—</v>
      </c>
      <c r="C63" s="22">
        <f t="shared" si="8"/>
        <v>15000</v>
      </c>
      <c r="D63" s="22">
        <f t="shared" si="13"/>
        <v>256750</v>
      </c>
      <c r="E63" s="22">
        <f t="shared" si="9"/>
        <v>256800</v>
      </c>
      <c r="F63" s="22">
        <f t="shared" si="10"/>
        <v>50</v>
      </c>
      <c r="G63" s="22">
        <f t="shared" si="11"/>
        <v>513</v>
      </c>
      <c r="H63" s="22">
        <f t="shared" si="12"/>
        <v>3</v>
      </c>
      <c r="I63" s="24" t="s">
        <v>138</v>
      </c>
    </row>
    <row r="64" spans="1:9" ht="13.9">
      <c r="A64" s="33"/>
    </row>
    <row r="65" spans="1:1" ht="13.9">
      <c r="A65" s="33"/>
    </row>
    <row r="66" spans="1:1" ht="13.9">
      <c r="A66" s="33"/>
    </row>
    <row r="67" spans="1:1" ht="13.9">
      <c r="A67" s="33"/>
    </row>
    <row r="68" spans="1:1" ht="13.9">
      <c r="A68" s="33"/>
    </row>
    <row r="69" spans="1:1" ht="13.9">
      <c r="A69" s="33"/>
    </row>
    <row r="70" spans="1:1" ht="13.9">
      <c r="A70" s="33"/>
    </row>
    <row r="71" spans="1:1" ht="13.9">
      <c r="A71" s="33"/>
    </row>
    <row r="72" spans="1:1" ht="13.9">
      <c r="A72" s="33"/>
    </row>
    <row r="73" spans="1:1" ht="13.9">
      <c r="A73" s="33"/>
    </row>
    <row r="74" spans="1:1" ht="13.9">
      <c r="A74" s="33"/>
    </row>
    <row r="75" spans="1:1" ht="13.9">
      <c r="A75" s="33"/>
    </row>
    <row r="76" spans="1:1" ht="13.9">
      <c r="A76" s="33"/>
    </row>
    <row r="77" spans="1:1" ht="13.9">
      <c r="A77" s="33"/>
    </row>
    <row r="78" spans="1:1" ht="13.9">
      <c r="A78" s="33"/>
    </row>
    <row r="79" spans="1:1" ht="13.9">
      <c r="A79" s="33"/>
    </row>
    <row r="80" spans="1:1" ht="13.9">
      <c r="A80" s="33"/>
    </row>
    <row r="81" spans="1:1" ht="13.9">
      <c r="A81" s="33"/>
    </row>
    <row r="82" spans="1:1" ht="13.9">
      <c r="A82" s="33"/>
    </row>
    <row r="83" spans="1:1" ht="13.9">
      <c r="A83" s="33"/>
    </row>
    <row r="84" spans="1:1" ht="13.9">
      <c r="A84" s="33"/>
    </row>
    <row r="85" spans="1:1" ht="13.9">
      <c r="A85" s="33"/>
    </row>
    <row r="86" spans="1:1" ht="13.9">
      <c r="A86" s="33"/>
    </row>
    <row r="87" spans="1:1" ht="13.9">
      <c r="A87" s="33"/>
    </row>
    <row r="88" spans="1:1" ht="13.9">
      <c r="A88" s="33"/>
    </row>
    <row r="89" spans="1:1" ht="13.9">
      <c r="A89" s="33"/>
    </row>
    <row r="90" spans="1:1" ht="13.9">
      <c r="A90" s="33"/>
    </row>
    <row r="91" spans="1:1" ht="13.9">
      <c r="A91" s="33"/>
    </row>
    <row r="92" spans="1:1" ht="13.9">
      <c r="A92" s="33"/>
    </row>
    <row r="93" spans="1:1" ht="13.9">
      <c r="A93" s="33"/>
    </row>
    <row r="94" spans="1:1" ht="13.9">
      <c r="A94" s="33"/>
    </row>
    <row r="95" spans="1:1" ht="13.9">
      <c r="A95" s="33"/>
    </row>
    <row r="96" spans="1:1" ht="13.9">
      <c r="A96" s="33"/>
    </row>
    <row r="97" spans="1:1" ht="13.9">
      <c r="A97" s="33"/>
    </row>
    <row r="98" spans="1:1" ht="13.9">
      <c r="A98" s="33"/>
    </row>
    <row r="99" spans="1:1" ht="13.9">
      <c r="A99" s="33"/>
    </row>
    <row r="100" spans="1:1" ht="13.9">
      <c r="A100" s="33"/>
    </row>
    <row r="101" spans="1:1" ht="13.9">
      <c r="A101" s="33"/>
    </row>
    <row r="102" spans="1:1" ht="13.9">
      <c r="A102" s="33"/>
    </row>
    <row r="103" spans="1:1" ht="13.9">
      <c r="A103" s="33"/>
    </row>
    <row r="104" spans="1:1" ht="13.9">
      <c r="A104" s="33"/>
    </row>
    <row r="105" spans="1:1" ht="13.9">
      <c r="A105" s="33"/>
    </row>
    <row r="106" spans="1:1" ht="13.9">
      <c r="A106" s="33"/>
    </row>
    <row r="107" spans="1:1" ht="13.9">
      <c r="A107" s="33"/>
    </row>
    <row r="108" spans="1:1" ht="13.9">
      <c r="A108" s="33"/>
    </row>
    <row r="109" spans="1:1" ht="13.9">
      <c r="A109" s="33"/>
    </row>
    <row r="110" spans="1:1" ht="13.9">
      <c r="A110" s="33"/>
    </row>
    <row r="111" spans="1:1" ht="13.9">
      <c r="A111" s="33"/>
    </row>
    <row r="112" spans="1:1" ht="13.9">
      <c r="A112" s="33"/>
    </row>
    <row r="113" spans="1:1" ht="13.9">
      <c r="A113" s="33"/>
    </row>
    <row r="114" spans="1:1" ht="13.9">
      <c r="A114" s="33"/>
    </row>
    <row r="115" spans="1:1" ht="13.9">
      <c r="A115" s="33"/>
    </row>
    <row r="116" spans="1:1" ht="13.9">
      <c r="A116" s="33"/>
    </row>
    <row r="117" spans="1:1" ht="13.9">
      <c r="A117" s="33"/>
    </row>
    <row r="118" spans="1:1" ht="13.9">
      <c r="A118" s="33"/>
    </row>
    <row r="119" spans="1:1" ht="13.9">
      <c r="A119" s="33"/>
    </row>
    <row r="120" spans="1:1" ht="13.9">
      <c r="A120" s="33"/>
    </row>
    <row r="121" spans="1:1" ht="13.9">
      <c r="A121" s="33"/>
    </row>
    <row r="122" spans="1:1" ht="13.9">
      <c r="A122" s="33"/>
    </row>
    <row r="123" spans="1:1" ht="13.9">
      <c r="A123" s="33"/>
    </row>
    <row r="124" spans="1:1" ht="13.9">
      <c r="A124" s="33"/>
    </row>
    <row r="125" spans="1:1" ht="13.9">
      <c r="A125" s="33"/>
    </row>
    <row r="126" spans="1:1" ht="13.9">
      <c r="A126" s="33"/>
    </row>
    <row r="127" spans="1:1" ht="13.9">
      <c r="A127" s="33"/>
    </row>
    <row r="128" spans="1:1" ht="13.9">
      <c r="A128" s="33"/>
    </row>
    <row r="129" spans="1:1" ht="13.9">
      <c r="A129" s="33"/>
    </row>
    <row r="130" spans="1:1" ht="13.9">
      <c r="A130" s="33"/>
    </row>
    <row r="131" spans="1:1" ht="13.9">
      <c r="A131" s="33"/>
    </row>
    <row r="132" spans="1:1" ht="13.9">
      <c r="A132" s="33"/>
    </row>
    <row r="133" spans="1:1" ht="13.9">
      <c r="A133" s="33"/>
    </row>
    <row r="134" spans="1:1" ht="13.9">
      <c r="A134" s="33"/>
    </row>
    <row r="135" spans="1:1" ht="13.9">
      <c r="A135" s="33"/>
    </row>
    <row r="136" spans="1:1" ht="13.9">
      <c r="A136" s="33"/>
    </row>
    <row r="137" spans="1:1" ht="13.9">
      <c r="A137" s="33"/>
    </row>
    <row r="138" spans="1:1" ht="13.9">
      <c r="A138" s="33"/>
    </row>
    <row r="139" spans="1:1" ht="13.9">
      <c r="A139" s="33"/>
    </row>
    <row r="140" spans="1:1" ht="13.9">
      <c r="A140" s="33"/>
    </row>
    <row r="141" spans="1:1" ht="13.9">
      <c r="A141" s="33"/>
    </row>
    <row r="142" spans="1:1" ht="13.9">
      <c r="A142" s="33"/>
    </row>
    <row r="143" spans="1:1" ht="13.9">
      <c r="A143" s="33"/>
    </row>
    <row r="144" spans="1:1" ht="13.9">
      <c r="A144" s="33"/>
    </row>
    <row r="145" spans="1:1" ht="13.9">
      <c r="A145" s="33"/>
    </row>
    <row r="146" spans="1:1" ht="13.9">
      <c r="A146" s="33"/>
    </row>
    <row r="147" spans="1:1" ht="13.9">
      <c r="A147" s="33"/>
    </row>
    <row r="148" spans="1:1" ht="13.9">
      <c r="A148" s="33"/>
    </row>
    <row r="149" spans="1:1" ht="13.9">
      <c r="A149" s="33"/>
    </row>
    <row r="150" spans="1:1" ht="13.9">
      <c r="A150" s="33"/>
    </row>
    <row r="151" spans="1:1" ht="13.9">
      <c r="A151" s="33"/>
    </row>
    <row r="152" spans="1:1" ht="13.9">
      <c r="A152" s="33"/>
    </row>
    <row r="153" spans="1:1" ht="13.9">
      <c r="A153" s="33"/>
    </row>
    <row r="154" spans="1:1" ht="13.9">
      <c r="A154" s="33"/>
    </row>
    <row r="155" spans="1:1" ht="13.9">
      <c r="A155" s="33"/>
    </row>
    <row r="156" spans="1:1" ht="13.9">
      <c r="A156" s="33"/>
    </row>
    <row r="157" spans="1:1" ht="13.9">
      <c r="A157" s="33"/>
    </row>
    <row r="158" spans="1:1" ht="13.9">
      <c r="A158" s="33"/>
    </row>
    <row r="159" spans="1:1" ht="13.9">
      <c r="A159" s="33"/>
    </row>
    <row r="160" spans="1:1" ht="13.9">
      <c r="A160" s="33"/>
    </row>
    <row r="161" spans="1:1" ht="13.9">
      <c r="A161" s="33"/>
    </row>
    <row r="162" spans="1:1" ht="13.9">
      <c r="A162" s="33"/>
    </row>
    <row r="163" spans="1:1" ht="13.9">
      <c r="A163" s="33"/>
    </row>
    <row r="164" spans="1:1" ht="13.9">
      <c r="A164" s="33"/>
    </row>
    <row r="165" spans="1:1" ht="13.9">
      <c r="A165" s="33"/>
    </row>
    <row r="166" spans="1:1" ht="13.9">
      <c r="A166" s="33"/>
    </row>
    <row r="167" spans="1:1" ht="13.9">
      <c r="A167" s="33"/>
    </row>
    <row r="168" spans="1:1" ht="13.9">
      <c r="A168" s="33"/>
    </row>
    <row r="169" spans="1:1" ht="13.9">
      <c r="A169" s="33"/>
    </row>
    <row r="170" spans="1:1" ht="13.9">
      <c r="A170" s="33"/>
    </row>
    <row r="171" spans="1:1" ht="13.9">
      <c r="A171" s="33"/>
    </row>
    <row r="172" spans="1:1" ht="13.9">
      <c r="A172" s="33"/>
    </row>
    <row r="173" spans="1:1" ht="13.9">
      <c r="A173" s="33"/>
    </row>
    <row r="174" spans="1:1" ht="13.9">
      <c r="A174" s="33"/>
    </row>
    <row r="175" spans="1:1" ht="13.9">
      <c r="A175" s="33"/>
    </row>
    <row r="176" spans="1:1" ht="13.9">
      <c r="A176" s="33"/>
    </row>
    <row r="177" spans="1:1" ht="13.9">
      <c r="A177" s="33"/>
    </row>
    <row r="178" spans="1:1" ht="13.9">
      <c r="A178" s="33"/>
    </row>
    <row r="179" spans="1:1" ht="13.9">
      <c r="A179" s="33"/>
    </row>
    <row r="180" spans="1:1" ht="13.9">
      <c r="A180" s="33"/>
    </row>
    <row r="181" spans="1:1" ht="13.9">
      <c r="A181" s="33"/>
    </row>
    <row r="182" spans="1:1" ht="13.9">
      <c r="A182" s="33"/>
    </row>
    <row r="183" spans="1:1" ht="13.9">
      <c r="A183" s="33"/>
    </row>
    <row r="184" spans="1:1" ht="13.9">
      <c r="A184" s="33"/>
    </row>
    <row r="185" spans="1:1" ht="13.9">
      <c r="A185" s="33"/>
    </row>
    <row r="186" spans="1:1" ht="13.9">
      <c r="A186" s="33"/>
    </row>
    <row r="187" spans="1:1" ht="13.9">
      <c r="A187" s="33"/>
    </row>
    <row r="188" spans="1:1" ht="13.9">
      <c r="A188" s="33"/>
    </row>
    <row r="189" spans="1:1" ht="13.9">
      <c r="A189" s="33"/>
    </row>
    <row r="190" spans="1:1" ht="13.9">
      <c r="A190" s="33"/>
    </row>
    <row r="191" spans="1:1" ht="13.9">
      <c r="A191" s="33"/>
    </row>
    <row r="192" spans="1:1" ht="13.9">
      <c r="A192" s="33"/>
    </row>
    <row r="193" spans="1:1" ht="13.9">
      <c r="A193" s="33"/>
    </row>
    <row r="194" spans="1:1" ht="13.9">
      <c r="A194" s="33"/>
    </row>
    <row r="195" spans="1:1" ht="13.9">
      <c r="A195" s="33"/>
    </row>
    <row r="196" spans="1:1" ht="13.9">
      <c r="A196" s="33"/>
    </row>
    <row r="197" spans="1:1" ht="13.9">
      <c r="A197" s="33"/>
    </row>
    <row r="198" spans="1:1" ht="13.9">
      <c r="A198" s="33"/>
    </row>
    <row r="199" spans="1:1" ht="13.9">
      <c r="A199" s="33"/>
    </row>
    <row r="200" spans="1:1" ht="13.9">
      <c r="A200" s="33"/>
    </row>
  </sheetData>
  <mergeCells count="1">
    <mergeCell ref="A1:I1"/>
  </mergeCells>
  <phoneticPr fontId="11" type="noConversion"/>
  <conditionalFormatting sqref="A4:I63">
    <cfRule type="expression" dxfId="0" priority="1">
      <formula>OR($A4=10,$A4=20,$A4=30,$A4=40,$A4=50,$A4=60)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sqref="A1:F1"/>
    </sheetView>
  </sheetViews>
  <sheetFormatPr defaultRowHeight="13.5"/>
  <cols>
    <col min="1" max="1" width="20" customWidth="1"/>
    <col min="2" max="2" width="14" customWidth="1"/>
    <col min="3" max="3" width="4" customWidth="1"/>
    <col min="4" max="4" width="22" customWidth="1"/>
    <col min="5" max="5" width="16" customWidth="1"/>
    <col min="6" max="6" width="34" customWidth="1"/>
  </cols>
  <sheetData>
    <row r="1" spans="1:26" ht="18.75">
      <c r="A1" s="53" t="s">
        <v>139</v>
      </c>
      <c r="B1" s="54"/>
      <c r="C1" s="54"/>
      <c r="D1" s="54"/>
      <c r="E1" s="54"/>
      <c r="F1" s="54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3.9">
      <c r="A2" s="33"/>
    </row>
    <row r="3" spans="1:26" ht="14.65">
      <c r="A3" s="39" t="s">
        <v>140</v>
      </c>
      <c r="B3" s="14" t="s">
        <v>141</v>
      </c>
      <c r="D3" s="14" t="s">
        <v>142</v>
      </c>
      <c r="E3" s="14" t="s">
        <v>141</v>
      </c>
      <c r="F3" s="14" t="s">
        <v>131</v>
      </c>
    </row>
    <row r="4" spans="1:26" ht="27.4">
      <c r="A4" s="33" t="s">
        <v>124</v>
      </c>
      <c r="B4" s="25">
        <v>1</v>
      </c>
      <c r="D4" s="26" t="s">
        <v>65</v>
      </c>
      <c r="E4" s="28">
        <f>IF(B5&lt;=B4,0,SUMIFS(逐级经验明细!$C$4:$C$63,逐级经验明细!$A$4:$A$63,"&gt;="&amp;B4,逐级经验明细!$A$4:$A$63,"&lt;"&amp;B5))</f>
        <v>256750</v>
      </c>
      <c r="F4" s="3" t="s">
        <v>143</v>
      </c>
    </row>
    <row r="5" spans="1:26" ht="13.9">
      <c r="A5" s="33" t="s">
        <v>144</v>
      </c>
      <c r="B5" s="25">
        <v>60</v>
      </c>
      <c r="D5" s="26" t="s">
        <v>69</v>
      </c>
      <c r="E5" s="28">
        <f>ROUNDUP(E4/100,0)*100</f>
        <v>256800</v>
      </c>
      <c r="F5" s="3" t="s">
        <v>145</v>
      </c>
    </row>
    <row r="6" spans="1:26" ht="13.9">
      <c r="A6" s="33" t="s">
        <v>146</v>
      </c>
      <c r="B6" s="25">
        <v>0</v>
      </c>
      <c r="D6" s="26" t="s">
        <v>73</v>
      </c>
      <c r="E6" s="28">
        <f>INT(E5/500)</f>
        <v>513</v>
      </c>
      <c r="F6" s="3" t="s">
        <v>147</v>
      </c>
    </row>
    <row r="7" spans="1:26" ht="13.9">
      <c r="A7" s="33" t="s">
        <v>148</v>
      </c>
      <c r="B7" s="25">
        <v>0</v>
      </c>
      <c r="D7" s="26" t="s">
        <v>77</v>
      </c>
      <c r="E7" s="28">
        <f>MOD(E5,500)/100</f>
        <v>3</v>
      </c>
      <c r="F7" s="3" t="s">
        <v>149</v>
      </c>
    </row>
    <row r="8" spans="1:26" ht="13.9">
      <c r="A8" s="33" t="s">
        <v>150</v>
      </c>
      <c r="B8" s="25">
        <v>0</v>
      </c>
      <c r="D8" s="26" t="s">
        <v>81</v>
      </c>
      <c r="E8" s="28">
        <f>B6*1000+B7*500+B8*100</f>
        <v>0</v>
      </c>
      <c r="F8" s="3" t="s">
        <v>151</v>
      </c>
    </row>
    <row r="9" spans="1:26" ht="13.9">
      <c r="A9" s="33"/>
      <c r="D9" s="26" t="s">
        <v>85</v>
      </c>
      <c r="E9" s="28">
        <f>MAX(0,E5-E8)</f>
        <v>256800</v>
      </c>
      <c r="F9" s="3" t="s">
        <v>152</v>
      </c>
    </row>
    <row r="10" spans="1:26" ht="14.65">
      <c r="A10" s="41"/>
      <c r="B10" s="30"/>
      <c r="C10" s="30"/>
      <c r="D10" s="30" t="s">
        <v>153</v>
      </c>
      <c r="E10" s="30">
        <f>INT(E9/500)</f>
        <v>513</v>
      </c>
      <c r="F10" s="30" t="s">
        <v>154</v>
      </c>
    </row>
    <row r="11" spans="1:26" ht="13.9">
      <c r="A11" s="33"/>
      <c r="D11" s="26" t="s">
        <v>155</v>
      </c>
      <c r="E11" s="28">
        <f>MOD(E9,500)/100</f>
        <v>3</v>
      </c>
      <c r="F11" s="3"/>
    </row>
    <row r="12" spans="1:26" ht="13.9">
      <c r="A12" s="33"/>
      <c r="D12" s="26" t="s">
        <v>89</v>
      </c>
      <c r="E12" s="28">
        <f>ROUNDUP(E9/500,0)</f>
        <v>514</v>
      </c>
      <c r="F12" s="3" t="s">
        <v>156</v>
      </c>
    </row>
    <row r="13" spans="1:26" ht="13.9">
      <c r="A13" s="33"/>
      <c r="D13" s="26" t="s">
        <v>60</v>
      </c>
      <c r="E13" s="28">
        <f>ROUNDUP(E9/1500,0)</f>
        <v>172</v>
      </c>
      <c r="F13" s="3" t="s">
        <v>93</v>
      </c>
    </row>
    <row r="14" spans="1:26" ht="13.9">
      <c r="A14" s="33"/>
      <c r="D14" s="27" t="s">
        <v>57</v>
      </c>
      <c r="E14" s="29">
        <f>E13*10</f>
        <v>1720</v>
      </c>
      <c r="F14" s="13" t="s">
        <v>58</v>
      </c>
    </row>
    <row r="15" spans="1:26" ht="13.9">
      <c r="A15" s="33"/>
    </row>
    <row r="16" spans="1:26" ht="13.05" customHeight="1">
      <c r="A16" s="55" t="s">
        <v>157</v>
      </c>
      <c r="B16" s="56"/>
      <c r="C16" s="56"/>
      <c r="D16" s="56"/>
      <c r="E16" s="56"/>
      <c r="F16" s="56"/>
    </row>
    <row r="17" spans="1:6" ht="13.05" customHeight="1">
      <c r="A17" s="55"/>
      <c r="B17" s="56"/>
      <c r="C17" s="56"/>
      <c r="D17" s="56"/>
      <c r="E17" s="56"/>
      <c r="F17" s="56"/>
    </row>
    <row r="18" spans="1:6" ht="13.9">
      <c r="A18" s="33"/>
    </row>
    <row r="19" spans="1:6" ht="13.9">
      <c r="A19" s="33"/>
    </row>
    <row r="20" spans="1:6" ht="13.9">
      <c r="A20" s="33"/>
    </row>
    <row r="21" spans="1:6" ht="13.9">
      <c r="A21" s="33"/>
    </row>
    <row r="22" spans="1:6" ht="13.9">
      <c r="A22" s="33"/>
    </row>
    <row r="23" spans="1:6" ht="13.9">
      <c r="A23" s="33"/>
    </row>
    <row r="24" spans="1:6" ht="13.9">
      <c r="A24" s="33"/>
    </row>
    <row r="25" spans="1:6" ht="13.9">
      <c r="A25" s="33"/>
    </row>
    <row r="26" spans="1:6" ht="13.9">
      <c r="A26" s="33"/>
    </row>
    <row r="27" spans="1:6" ht="13.9">
      <c r="A27" s="33"/>
    </row>
    <row r="28" spans="1:6" ht="13.9">
      <c r="A28" s="33"/>
    </row>
    <row r="29" spans="1:6" ht="13.9">
      <c r="A29" s="33"/>
    </row>
    <row r="30" spans="1:6" ht="13.9">
      <c r="A30" s="33"/>
    </row>
    <row r="31" spans="1:6" ht="13.9">
      <c r="A31" s="33"/>
    </row>
    <row r="32" spans="1:6" ht="13.9">
      <c r="A32" s="33"/>
    </row>
    <row r="33" spans="1:1" ht="13.9">
      <c r="A33" s="33"/>
    </row>
    <row r="34" spans="1:1" ht="13.9">
      <c r="A34" s="33"/>
    </row>
    <row r="35" spans="1:1" ht="13.9">
      <c r="A35" s="33"/>
    </row>
    <row r="36" spans="1:1" ht="13.9">
      <c r="A36" s="33"/>
    </row>
    <row r="37" spans="1:1" ht="13.9">
      <c r="A37" s="33"/>
    </row>
    <row r="38" spans="1:1" ht="13.9">
      <c r="A38" s="33"/>
    </row>
    <row r="39" spans="1:1" ht="13.9">
      <c r="A39" s="33"/>
    </row>
    <row r="40" spans="1:1" ht="13.9">
      <c r="A40" s="33"/>
    </row>
    <row r="41" spans="1:1" ht="13.9">
      <c r="A41" s="33"/>
    </row>
    <row r="42" spans="1:1" ht="13.9">
      <c r="A42" s="33"/>
    </row>
    <row r="43" spans="1:1" ht="13.9">
      <c r="A43" s="33"/>
    </row>
    <row r="44" spans="1:1" ht="13.9">
      <c r="A44" s="33"/>
    </row>
    <row r="45" spans="1:1" ht="13.9">
      <c r="A45" s="33"/>
    </row>
    <row r="46" spans="1:1" ht="13.9">
      <c r="A46" s="33"/>
    </row>
    <row r="47" spans="1:1" ht="13.9">
      <c r="A47" s="33"/>
    </row>
    <row r="48" spans="1:1" ht="13.9">
      <c r="A48" s="33"/>
    </row>
    <row r="49" spans="1:1" ht="13.9">
      <c r="A49" s="33"/>
    </row>
    <row r="50" spans="1:1" ht="13.9">
      <c r="A50" s="33"/>
    </row>
    <row r="51" spans="1:1" ht="13.9">
      <c r="A51" s="33"/>
    </row>
    <row r="52" spans="1:1" ht="13.9">
      <c r="A52" s="33"/>
    </row>
    <row r="53" spans="1:1" ht="13.9">
      <c r="A53" s="33"/>
    </row>
    <row r="54" spans="1:1" ht="13.9">
      <c r="A54" s="33"/>
    </row>
    <row r="55" spans="1:1" ht="13.9">
      <c r="A55" s="33"/>
    </row>
    <row r="56" spans="1:1" ht="13.9">
      <c r="A56" s="33"/>
    </row>
    <row r="57" spans="1:1" ht="13.9">
      <c r="A57" s="33"/>
    </row>
    <row r="58" spans="1:1" ht="13.9">
      <c r="A58" s="33"/>
    </row>
    <row r="59" spans="1:1" ht="13.9">
      <c r="A59" s="33"/>
    </row>
    <row r="60" spans="1:1" ht="13.9">
      <c r="A60" s="33"/>
    </row>
    <row r="61" spans="1:1" ht="13.9">
      <c r="A61" s="33"/>
    </row>
    <row r="62" spans="1:1" ht="13.9">
      <c r="A62" s="33"/>
    </row>
    <row r="63" spans="1:1" ht="13.9">
      <c r="A63" s="33"/>
    </row>
    <row r="64" spans="1:1" ht="13.9">
      <c r="A64" s="33"/>
    </row>
    <row r="65" spans="1:1" ht="13.9">
      <c r="A65" s="33"/>
    </row>
    <row r="66" spans="1:1" ht="13.9">
      <c r="A66" s="33"/>
    </row>
    <row r="67" spans="1:1" ht="13.9">
      <c r="A67" s="33"/>
    </row>
    <row r="68" spans="1:1" ht="13.9">
      <c r="A68" s="33"/>
    </row>
    <row r="69" spans="1:1" ht="13.9">
      <c r="A69" s="33"/>
    </row>
    <row r="70" spans="1:1" ht="13.9">
      <c r="A70" s="33"/>
    </row>
    <row r="71" spans="1:1" ht="13.9">
      <c r="A71" s="33"/>
    </row>
    <row r="72" spans="1:1" ht="13.9">
      <c r="A72" s="33"/>
    </row>
    <row r="73" spans="1:1" ht="13.9">
      <c r="A73" s="33"/>
    </row>
    <row r="74" spans="1:1" ht="13.9">
      <c r="A74" s="33"/>
    </row>
    <row r="75" spans="1:1" ht="13.9">
      <c r="A75" s="33"/>
    </row>
    <row r="76" spans="1:1" ht="13.9">
      <c r="A76" s="33"/>
    </row>
    <row r="77" spans="1:1" ht="13.9">
      <c r="A77" s="33"/>
    </row>
    <row r="78" spans="1:1" ht="13.9">
      <c r="A78" s="33"/>
    </row>
    <row r="79" spans="1:1" ht="13.9">
      <c r="A79" s="33"/>
    </row>
    <row r="80" spans="1:1" ht="13.9">
      <c r="A80" s="33"/>
    </row>
    <row r="81" spans="1:1" ht="13.9">
      <c r="A81" s="33"/>
    </row>
    <row r="82" spans="1:1" ht="13.9">
      <c r="A82" s="33"/>
    </row>
    <row r="83" spans="1:1" ht="13.9">
      <c r="A83" s="33"/>
    </row>
    <row r="84" spans="1:1" ht="13.9">
      <c r="A84" s="33"/>
    </row>
    <row r="85" spans="1:1" ht="13.9">
      <c r="A85" s="33"/>
    </row>
    <row r="86" spans="1:1" ht="13.9">
      <c r="A86" s="33"/>
    </row>
    <row r="87" spans="1:1" ht="13.9">
      <c r="A87" s="33"/>
    </row>
    <row r="88" spans="1:1" ht="13.9">
      <c r="A88" s="33"/>
    </row>
    <row r="89" spans="1:1" ht="13.9">
      <c r="A89" s="33"/>
    </row>
    <row r="90" spans="1:1" ht="13.9">
      <c r="A90" s="33"/>
    </row>
    <row r="91" spans="1:1" ht="13.9">
      <c r="A91" s="33"/>
    </row>
    <row r="92" spans="1:1" ht="13.9">
      <c r="A92" s="33"/>
    </row>
    <row r="93" spans="1:1" ht="13.9">
      <c r="A93" s="33"/>
    </row>
    <row r="94" spans="1:1" ht="13.9">
      <c r="A94" s="33"/>
    </row>
    <row r="95" spans="1:1" ht="13.9">
      <c r="A95" s="33"/>
    </row>
    <row r="96" spans="1:1" ht="13.9">
      <c r="A96" s="33"/>
    </row>
    <row r="97" spans="1:1" ht="13.9">
      <c r="A97" s="33"/>
    </row>
    <row r="98" spans="1:1" ht="13.9">
      <c r="A98" s="33"/>
    </row>
    <row r="99" spans="1:1" ht="13.9">
      <c r="A99" s="33"/>
    </row>
    <row r="100" spans="1:1" ht="13.9">
      <c r="A100" s="33"/>
    </row>
    <row r="101" spans="1:1" ht="13.9">
      <c r="A101" s="33"/>
    </row>
    <row r="102" spans="1:1" ht="13.9">
      <c r="A102" s="33"/>
    </row>
    <row r="103" spans="1:1" ht="13.9">
      <c r="A103" s="33"/>
    </row>
    <row r="104" spans="1:1" ht="13.9">
      <c r="A104" s="33"/>
    </row>
    <row r="105" spans="1:1" ht="13.9">
      <c r="A105" s="33"/>
    </row>
    <row r="106" spans="1:1" ht="13.9">
      <c r="A106" s="33"/>
    </row>
    <row r="107" spans="1:1" ht="13.9">
      <c r="A107" s="33"/>
    </row>
    <row r="108" spans="1:1" ht="13.9">
      <c r="A108" s="33"/>
    </row>
    <row r="109" spans="1:1" ht="13.9">
      <c r="A109" s="33"/>
    </row>
    <row r="110" spans="1:1" ht="13.9">
      <c r="A110" s="33"/>
    </row>
    <row r="111" spans="1:1" ht="13.9">
      <c r="A111" s="33"/>
    </row>
    <row r="112" spans="1:1" ht="13.9">
      <c r="A112" s="33"/>
    </row>
    <row r="113" spans="1:1" ht="13.9">
      <c r="A113" s="33"/>
    </row>
    <row r="114" spans="1:1" ht="13.9">
      <c r="A114" s="33"/>
    </row>
    <row r="115" spans="1:1" ht="13.9">
      <c r="A115" s="33"/>
    </row>
    <row r="116" spans="1:1" ht="13.9">
      <c r="A116" s="33"/>
    </row>
    <row r="117" spans="1:1" ht="13.9">
      <c r="A117" s="33"/>
    </row>
    <row r="118" spans="1:1" ht="13.9">
      <c r="A118" s="33"/>
    </row>
    <row r="119" spans="1:1" ht="13.9">
      <c r="A119" s="33"/>
    </row>
    <row r="120" spans="1:1" ht="13.9">
      <c r="A120" s="33"/>
    </row>
    <row r="121" spans="1:1" ht="13.9">
      <c r="A121" s="33"/>
    </row>
    <row r="122" spans="1:1" ht="13.9">
      <c r="A122" s="33"/>
    </row>
    <row r="123" spans="1:1" ht="13.9">
      <c r="A123" s="33"/>
    </row>
    <row r="124" spans="1:1" ht="13.9">
      <c r="A124" s="33"/>
    </row>
    <row r="125" spans="1:1" ht="13.9">
      <c r="A125" s="33"/>
    </row>
    <row r="126" spans="1:1" ht="13.9">
      <c r="A126" s="33"/>
    </row>
    <row r="127" spans="1:1" ht="13.9">
      <c r="A127" s="33"/>
    </row>
    <row r="128" spans="1:1" ht="13.9">
      <c r="A128" s="33"/>
    </row>
    <row r="129" spans="1:1" ht="13.9">
      <c r="A129" s="33"/>
    </row>
    <row r="130" spans="1:1" ht="13.9">
      <c r="A130" s="33"/>
    </row>
    <row r="131" spans="1:1" ht="13.9">
      <c r="A131" s="33"/>
    </row>
    <row r="132" spans="1:1" ht="13.9">
      <c r="A132" s="33"/>
    </row>
    <row r="133" spans="1:1" ht="13.9">
      <c r="A133" s="33"/>
    </row>
    <row r="134" spans="1:1" ht="13.9">
      <c r="A134" s="33"/>
    </row>
    <row r="135" spans="1:1" ht="13.9">
      <c r="A135" s="33"/>
    </row>
    <row r="136" spans="1:1" ht="13.9">
      <c r="A136" s="33"/>
    </row>
    <row r="137" spans="1:1" ht="13.9">
      <c r="A137" s="33"/>
    </row>
    <row r="138" spans="1:1" ht="13.9">
      <c r="A138" s="33"/>
    </row>
    <row r="139" spans="1:1" ht="13.9">
      <c r="A139" s="33"/>
    </row>
    <row r="140" spans="1:1" ht="13.9">
      <c r="A140" s="33"/>
    </row>
    <row r="141" spans="1:1" ht="13.9">
      <c r="A141" s="33"/>
    </row>
    <row r="142" spans="1:1" ht="13.9">
      <c r="A142" s="33"/>
    </row>
    <row r="143" spans="1:1" ht="13.9">
      <c r="A143" s="33"/>
    </row>
    <row r="144" spans="1:1" ht="13.9">
      <c r="A144" s="33"/>
    </row>
    <row r="145" spans="1:1" ht="13.9">
      <c r="A145" s="33"/>
    </row>
    <row r="146" spans="1:1" ht="13.9">
      <c r="A146" s="33"/>
    </row>
    <row r="147" spans="1:1" ht="13.9">
      <c r="A147" s="33"/>
    </row>
    <row r="148" spans="1:1" ht="13.9">
      <c r="A148" s="33"/>
    </row>
    <row r="149" spans="1:1" ht="13.9">
      <c r="A149" s="33"/>
    </row>
    <row r="150" spans="1:1" ht="13.9">
      <c r="A150" s="33"/>
    </row>
    <row r="151" spans="1:1" ht="13.9">
      <c r="A151" s="33"/>
    </row>
    <row r="152" spans="1:1" ht="13.9">
      <c r="A152" s="33"/>
    </row>
    <row r="153" spans="1:1" ht="13.9">
      <c r="A153" s="33"/>
    </row>
    <row r="154" spans="1:1" ht="13.9">
      <c r="A154" s="33"/>
    </row>
    <row r="155" spans="1:1" ht="13.9">
      <c r="A155" s="33"/>
    </row>
    <row r="156" spans="1:1" ht="13.9">
      <c r="A156" s="33"/>
    </row>
    <row r="157" spans="1:1" ht="13.9">
      <c r="A157" s="33"/>
    </row>
    <row r="158" spans="1:1" ht="13.9">
      <c r="A158" s="33"/>
    </row>
    <row r="159" spans="1:1" ht="13.9">
      <c r="A159" s="33"/>
    </row>
    <row r="160" spans="1:1" ht="13.9">
      <c r="A160" s="33"/>
    </row>
    <row r="161" spans="1:1" ht="13.9">
      <c r="A161" s="33"/>
    </row>
    <row r="162" spans="1:1" ht="13.9">
      <c r="A162" s="33"/>
    </row>
    <row r="163" spans="1:1" ht="13.9">
      <c r="A163" s="33"/>
    </row>
    <row r="164" spans="1:1" ht="13.9">
      <c r="A164" s="33"/>
    </row>
    <row r="165" spans="1:1" ht="13.9">
      <c r="A165" s="33"/>
    </row>
    <row r="166" spans="1:1" ht="13.9">
      <c r="A166" s="33"/>
    </row>
    <row r="167" spans="1:1" ht="13.9">
      <c r="A167" s="33"/>
    </row>
    <row r="168" spans="1:1" ht="13.9">
      <c r="A168" s="33"/>
    </row>
    <row r="169" spans="1:1" ht="13.9">
      <c r="A169" s="33"/>
    </row>
    <row r="170" spans="1:1" ht="13.9">
      <c r="A170" s="33"/>
    </row>
    <row r="171" spans="1:1" ht="13.9">
      <c r="A171" s="33"/>
    </row>
    <row r="172" spans="1:1" ht="13.9">
      <c r="A172" s="33"/>
    </row>
    <row r="173" spans="1:1" ht="13.9">
      <c r="A173" s="33"/>
    </row>
    <row r="174" spans="1:1" ht="13.9">
      <c r="A174" s="33"/>
    </row>
    <row r="175" spans="1:1" ht="13.9">
      <c r="A175" s="33"/>
    </row>
    <row r="176" spans="1:1" ht="13.9">
      <c r="A176" s="33"/>
    </row>
    <row r="177" spans="1:1" ht="13.9">
      <c r="A177" s="33"/>
    </row>
    <row r="178" spans="1:1" ht="13.9">
      <c r="A178" s="33"/>
    </row>
    <row r="179" spans="1:1" ht="13.9">
      <c r="A179" s="33"/>
    </row>
    <row r="180" spans="1:1" ht="13.9">
      <c r="A180" s="33"/>
    </row>
    <row r="181" spans="1:1" ht="13.9">
      <c r="A181" s="33"/>
    </row>
    <row r="182" spans="1:1" ht="13.9">
      <c r="A182" s="33"/>
    </row>
    <row r="183" spans="1:1" ht="13.9">
      <c r="A183" s="33"/>
    </row>
    <row r="184" spans="1:1" ht="13.9">
      <c r="A184" s="33"/>
    </row>
    <row r="185" spans="1:1" ht="13.9">
      <c r="A185" s="33"/>
    </row>
    <row r="186" spans="1:1" ht="13.9">
      <c r="A186" s="33"/>
    </row>
    <row r="187" spans="1:1" ht="13.9">
      <c r="A187" s="33"/>
    </row>
    <row r="188" spans="1:1" ht="13.9">
      <c r="A188" s="33"/>
    </row>
    <row r="189" spans="1:1" ht="13.9">
      <c r="A189" s="33"/>
    </row>
    <row r="190" spans="1:1" ht="13.9">
      <c r="A190" s="33"/>
    </row>
    <row r="191" spans="1:1" ht="13.9">
      <c r="A191" s="33"/>
    </row>
    <row r="192" spans="1:1" ht="13.9">
      <c r="A192" s="33"/>
    </row>
    <row r="193" spans="1:1" ht="13.9">
      <c r="A193" s="33"/>
    </row>
    <row r="194" spans="1:1" ht="13.9">
      <c r="A194" s="33"/>
    </row>
    <row r="195" spans="1:1" ht="13.9">
      <c r="A195" s="33"/>
    </row>
    <row r="196" spans="1:1" ht="13.9">
      <c r="A196" s="33"/>
    </row>
    <row r="197" spans="1:1" ht="13.9">
      <c r="A197" s="33"/>
    </row>
    <row r="198" spans="1:1" ht="13.9">
      <c r="A198" s="33"/>
    </row>
    <row r="199" spans="1:1" ht="13.9">
      <c r="A199" s="33"/>
    </row>
    <row r="200" spans="1:1" ht="13.9">
      <c r="A200" s="33"/>
    </row>
  </sheetData>
  <mergeCells count="2">
    <mergeCell ref="A1:F1"/>
    <mergeCell ref="A16:F17"/>
  </mergeCells>
  <phoneticPr fontId="11" type="noConversion"/>
  <dataValidations count="2">
    <dataValidation sqref="B4:B5" xr:uid="{00000000-0002-0000-0300-000000000000}">
      <formula1>1</formula1>
      <formula2>60</formula2>
    </dataValidation>
    <dataValidation operator="greaterThanOrEqual" sqref="B6:B8" xr:uid="{00000000-0002-0000-0300-000001000000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sqref="A1:J1"/>
    </sheetView>
  </sheetViews>
  <sheetFormatPr defaultRowHeight="13.5"/>
  <cols>
    <col min="1" max="2" width="11" customWidth="1"/>
    <col min="3" max="3" width="14" customWidth="1"/>
    <col min="4" max="4" width="16" customWidth="1"/>
    <col min="5" max="6" width="11" customWidth="1"/>
    <col min="7" max="8" width="12" customWidth="1"/>
    <col min="9" max="9" width="11" customWidth="1"/>
    <col min="10" max="10" width="38" customWidth="1"/>
  </cols>
  <sheetData>
    <row r="1" spans="1:26" ht="18.75">
      <c r="A1" s="53" t="s">
        <v>158</v>
      </c>
      <c r="B1" s="54"/>
      <c r="C1" s="54"/>
      <c r="D1" s="54"/>
      <c r="E1" s="54"/>
      <c r="F1" s="54"/>
      <c r="G1" s="54"/>
      <c r="H1" s="54"/>
      <c r="I1" s="54"/>
      <c r="J1" s="54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3.9">
      <c r="A2" s="33"/>
    </row>
    <row r="3" spans="1:26" ht="14.65">
      <c r="A3" s="32" t="s">
        <v>124</v>
      </c>
      <c r="B3" s="1" t="s">
        <v>144</v>
      </c>
      <c r="C3" s="1" t="s">
        <v>159</v>
      </c>
      <c r="D3" s="1" t="s">
        <v>69</v>
      </c>
      <c r="E3" s="1" t="s">
        <v>160</v>
      </c>
      <c r="F3" s="1" t="s">
        <v>161</v>
      </c>
      <c r="G3" s="1" t="s">
        <v>162</v>
      </c>
      <c r="H3" s="1" t="s">
        <v>60</v>
      </c>
      <c r="I3" s="1" t="s">
        <v>163</v>
      </c>
      <c r="J3" s="1" t="s">
        <v>164</v>
      </c>
    </row>
    <row r="4" spans="1:26" ht="27">
      <c r="A4" s="42">
        <v>1</v>
      </c>
      <c r="B4" s="15">
        <v>10</v>
      </c>
      <c r="C4" s="15">
        <v>2700</v>
      </c>
      <c r="D4" s="15">
        <v>2700</v>
      </c>
      <c r="E4" s="15">
        <v>5</v>
      </c>
      <c r="F4" s="15">
        <v>2</v>
      </c>
      <c r="G4" s="15">
        <v>0</v>
      </c>
      <c r="H4" s="15">
        <v>2</v>
      </c>
      <c r="I4" s="15">
        <v>20</v>
      </c>
      <c r="J4" s="18" t="s">
        <v>165</v>
      </c>
    </row>
    <row r="5" spans="1:26" ht="27">
      <c r="A5" s="43">
        <v>10</v>
      </c>
      <c r="B5">
        <v>20</v>
      </c>
      <c r="C5">
        <v>9550</v>
      </c>
      <c r="D5">
        <v>9600</v>
      </c>
      <c r="E5">
        <v>19</v>
      </c>
      <c r="F5">
        <v>1</v>
      </c>
      <c r="G5">
        <v>50</v>
      </c>
      <c r="H5">
        <v>7</v>
      </c>
      <c r="I5">
        <v>70</v>
      </c>
      <c r="J5" s="19" t="s">
        <v>166</v>
      </c>
    </row>
    <row r="6" spans="1:26" ht="13.9">
      <c r="A6" s="43">
        <v>1</v>
      </c>
      <c r="B6">
        <v>20</v>
      </c>
      <c r="C6">
        <v>12250</v>
      </c>
      <c r="D6">
        <v>12300</v>
      </c>
      <c r="E6">
        <v>24</v>
      </c>
      <c r="F6">
        <v>3</v>
      </c>
      <c r="G6">
        <v>50</v>
      </c>
      <c r="H6">
        <v>9</v>
      </c>
      <c r="I6">
        <v>90</v>
      </c>
      <c r="J6" s="19" t="s">
        <v>167</v>
      </c>
    </row>
    <row r="7" spans="1:26" ht="13.9">
      <c r="A7" s="43">
        <v>20</v>
      </c>
      <c r="B7">
        <v>30</v>
      </c>
      <c r="C7">
        <v>19500</v>
      </c>
      <c r="D7">
        <v>19500</v>
      </c>
      <c r="E7">
        <v>39</v>
      </c>
      <c r="F7">
        <v>0</v>
      </c>
      <c r="G7">
        <v>0</v>
      </c>
      <c r="H7">
        <v>13</v>
      </c>
      <c r="I7">
        <v>130</v>
      </c>
      <c r="J7" s="19" t="s">
        <v>167</v>
      </c>
    </row>
    <row r="8" spans="1:26" ht="13.9">
      <c r="A8" s="43">
        <v>30</v>
      </c>
      <c r="B8">
        <v>40</v>
      </c>
      <c r="C8">
        <v>40000</v>
      </c>
      <c r="D8">
        <v>40000</v>
      </c>
      <c r="E8">
        <v>80</v>
      </c>
      <c r="F8">
        <v>0</v>
      </c>
      <c r="G8">
        <v>0</v>
      </c>
      <c r="H8">
        <v>27</v>
      </c>
      <c r="I8">
        <v>270</v>
      </c>
      <c r="J8" s="19" t="s">
        <v>167</v>
      </c>
    </row>
    <row r="9" spans="1:26" ht="13.9">
      <c r="A9" s="43">
        <v>40</v>
      </c>
      <c r="B9">
        <v>50</v>
      </c>
      <c r="C9">
        <v>67000</v>
      </c>
      <c r="D9">
        <v>67000</v>
      </c>
      <c r="E9">
        <v>134</v>
      </c>
      <c r="F9">
        <v>0</v>
      </c>
      <c r="G9">
        <v>0</v>
      </c>
      <c r="H9">
        <v>45</v>
      </c>
      <c r="I9">
        <v>450</v>
      </c>
      <c r="J9" s="19" t="s">
        <v>167</v>
      </c>
    </row>
    <row r="10" spans="1:26" ht="27">
      <c r="A10" s="43">
        <v>50</v>
      </c>
      <c r="B10">
        <v>60</v>
      </c>
      <c r="C10">
        <v>118000</v>
      </c>
      <c r="D10">
        <v>118000</v>
      </c>
      <c r="E10">
        <v>236</v>
      </c>
      <c r="F10">
        <v>0</v>
      </c>
      <c r="G10">
        <v>0</v>
      </c>
      <c r="H10">
        <v>79</v>
      </c>
      <c r="I10">
        <v>790</v>
      </c>
      <c r="J10" s="19" t="s">
        <v>168</v>
      </c>
    </row>
    <row r="11" spans="1:26" ht="13.9">
      <c r="A11" s="44">
        <v>1</v>
      </c>
      <c r="B11" s="16">
        <v>60</v>
      </c>
      <c r="C11" s="16">
        <v>256750</v>
      </c>
      <c r="D11" s="16">
        <v>256800</v>
      </c>
      <c r="E11" s="16">
        <v>513</v>
      </c>
      <c r="F11" s="16">
        <v>3</v>
      </c>
      <c r="G11" s="16">
        <v>50</v>
      </c>
      <c r="H11" s="16">
        <v>172</v>
      </c>
      <c r="I11" s="16">
        <v>1720</v>
      </c>
      <c r="J11" s="20" t="s">
        <v>169</v>
      </c>
    </row>
    <row r="12" spans="1:26" ht="13.9">
      <c r="A12" s="33"/>
    </row>
    <row r="13" spans="1:26" ht="13.9">
      <c r="A13" s="33"/>
    </row>
    <row r="14" spans="1:26" ht="14.65">
      <c r="A14" s="49" t="s">
        <v>170</v>
      </c>
      <c r="B14" s="50"/>
      <c r="C14" s="50"/>
      <c r="D14" s="50"/>
      <c r="E14" s="50"/>
      <c r="F14" s="50"/>
      <c r="G14" s="50"/>
      <c r="H14" s="50"/>
      <c r="I14" s="50"/>
      <c r="J14" s="50"/>
    </row>
    <row r="15" spans="1:26" ht="27">
      <c r="A15" s="33" t="s">
        <v>171</v>
      </c>
      <c r="B15" t="s">
        <v>172</v>
      </c>
      <c r="C15" t="s">
        <v>173</v>
      </c>
      <c r="D15" s="3" t="s">
        <v>174</v>
      </c>
    </row>
    <row r="16" spans="1:26" ht="27">
      <c r="A16" s="33" t="s">
        <v>175</v>
      </c>
      <c r="B16" t="s">
        <v>176</v>
      </c>
      <c r="C16" t="s">
        <v>177</v>
      </c>
      <c r="D16" s="3" t="s">
        <v>178</v>
      </c>
    </row>
    <row r="17" spans="1:4" ht="40.5">
      <c r="A17" s="45" t="s">
        <v>179</v>
      </c>
      <c r="B17" s="16" t="s">
        <v>180</v>
      </c>
      <c r="C17" s="16" t="s">
        <v>181</v>
      </c>
      <c r="D17" s="13" t="s">
        <v>182</v>
      </c>
    </row>
    <row r="18" spans="1:4" ht="13.9">
      <c r="A18" s="33"/>
    </row>
    <row r="19" spans="1:4" ht="13.9">
      <c r="A19" s="33"/>
    </row>
    <row r="20" spans="1:4" ht="13.9">
      <c r="A20" s="33"/>
    </row>
    <row r="21" spans="1:4" ht="13.9">
      <c r="A21" s="33"/>
    </row>
    <row r="22" spans="1:4" ht="13.9">
      <c r="A22" s="33"/>
    </row>
    <row r="23" spans="1:4" ht="13.9">
      <c r="A23" s="33"/>
    </row>
    <row r="24" spans="1:4" ht="13.9">
      <c r="A24" s="33"/>
    </row>
    <row r="25" spans="1:4" ht="13.9">
      <c r="A25" s="33"/>
    </row>
    <row r="26" spans="1:4" ht="13.9">
      <c r="A26" s="33"/>
    </row>
    <row r="27" spans="1:4" ht="13.9">
      <c r="A27" s="33"/>
    </row>
    <row r="28" spans="1:4" ht="13.9">
      <c r="A28" s="33"/>
    </row>
    <row r="29" spans="1:4" ht="13.9">
      <c r="A29" s="33"/>
    </row>
    <row r="30" spans="1:4" ht="13.9">
      <c r="A30" s="33"/>
    </row>
    <row r="31" spans="1:4" ht="13.9">
      <c r="A31" s="33"/>
    </row>
    <row r="32" spans="1:4" ht="13.9">
      <c r="A32" s="33"/>
    </row>
    <row r="33" spans="1:1" ht="13.9">
      <c r="A33" s="33"/>
    </row>
    <row r="34" spans="1:1" ht="13.9">
      <c r="A34" s="33"/>
    </row>
    <row r="35" spans="1:1" ht="13.9">
      <c r="A35" s="33"/>
    </row>
    <row r="36" spans="1:1" ht="13.9">
      <c r="A36" s="33"/>
    </row>
    <row r="37" spans="1:1" ht="13.9">
      <c r="A37" s="33"/>
    </row>
    <row r="38" spans="1:1" ht="13.9">
      <c r="A38" s="33"/>
    </row>
    <row r="39" spans="1:1" ht="13.9">
      <c r="A39" s="33"/>
    </row>
    <row r="40" spans="1:1" ht="13.9">
      <c r="A40" s="33"/>
    </row>
    <row r="41" spans="1:1" ht="13.9">
      <c r="A41" s="33"/>
    </row>
    <row r="42" spans="1:1" ht="13.9">
      <c r="A42" s="33"/>
    </row>
    <row r="43" spans="1:1" ht="13.9">
      <c r="A43" s="33"/>
    </row>
    <row r="44" spans="1:1" ht="13.9">
      <c r="A44" s="33"/>
    </row>
    <row r="45" spans="1:1" ht="13.9">
      <c r="A45" s="33"/>
    </row>
    <row r="46" spans="1:1" ht="13.9">
      <c r="A46" s="33"/>
    </row>
    <row r="47" spans="1:1" ht="13.9">
      <c r="A47" s="33"/>
    </row>
    <row r="48" spans="1:1" ht="13.9">
      <c r="A48" s="33"/>
    </row>
    <row r="49" spans="1:1" ht="13.9">
      <c r="A49" s="33"/>
    </row>
    <row r="50" spans="1:1" ht="13.9">
      <c r="A50" s="33"/>
    </row>
    <row r="51" spans="1:1" ht="13.9">
      <c r="A51" s="33"/>
    </row>
    <row r="52" spans="1:1" ht="13.9">
      <c r="A52" s="33"/>
    </row>
    <row r="53" spans="1:1" ht="13.9">
      <c r="A53" s="33"/>
    </row>
    <row r="54" spans="1:1" ht="13.9">
      <c r="A54" s="33"/>
    </row>
    <row r="55" spans="1:1" ht="13.9">
      <c r="A55" s="33"/>
    </row>
    <row r="56" spans="1:1" ht="13.9">
      <c r="A56" s="33"/>
    </row>
    <row r="57" spans="1:1" ht="13.9">
      <c r="A57" s="33"/>
    </row>
    <row r="58" spans="1:1" ht="13.9">
      <c r="A58" s="33"/>
    </row>
    <row r="59" spans="1:1" ht="13.9">
      <c r="A59" s="33"/>
    </row>
    <row r="60" spans="1:1" ht="13.9">
      <c r="A60" s="33"/>
    </row>
    <row r="61" spans="1:1" ht="13.9">
      <c r="A61" s="33"/>
    </row>
    <row r="62" spans="1:1" ht="13.9">
      <c r="A62" s="33"/>
    </row>
    <row r="63" spans="1:1" ht="13.9">
      <c r="A63" s="33"/>
    </row>
    <row r="64" spans="1:1" ht="13.9">
      <c r="A64" s="33"/>
    </row>
    <row r="65" spans="1:1" ht="13.9">
      <c r="A65" s="33"/>
    </row>
    <row r="66" spans="1:1" ht="13.9">
      <c r="A66" s="33"/>
    </row>
    <row r="67" spans="1:1" ht="13.9">
      <c r="A67" s="33"/>
    </row>
    <row r="68" spans="1:1" ht="13.9">
      <c r="A68" s="33"/>
    </row>
    <row r="69" spans="1:1" ht="13.9">
      <c r="A69" s="33"/>
    </row>
    <row r="70" spans="1:1" ht="13.9">
      <c r="A70" s="33"/>
    </row>
    <row r="71" spans="1:1" ht="13.9">
      <c r="A71" s="33"/>
    </row>
    <row r="72" spans="1:1" ht="13.9">
      <c r="A72" s="33"/>
    </row>
    <row r="73" spans="1:1" ht="13.9">
      <c r="A73" s="33"/>
    </row>
    <row r="74" spans="1:1" ht="13.9">
      <c r="A74" s="33"/>
    </row>
    <row r="75" spans="1:1" ht="13.9">
      <c r="A75" s="33"/>
    </row>
    <row r="76" spans="1:1" ht="13.9">
      <c r="A76" s="33"/>
    </row>
    <row r="77" spans="1:1" ht="13.9">
      <c r="A77" s="33"/>
    </row>
    <row r="78" spans="1:1" ht="13.9">
      <c r="A78" s="33"/>
    </row>
    <row r="79" spans="1:1" ht="13.9">
      <c r="A79" s="33"/>
    </row>
    <row r="80" spans="1:1" ht="13.9">
      <c r="A80" s="33"/>
    </row>
    <row r="81" spans="1:1" ht="13.9">
      <c r="A81" s="33"/>
    </row>
    <row r="82" spans="1:1" ht="13.9">
      <c r="A82" s="33"/>
    </row>
    <row r="83" spans="1:1" ht="13.9">
      <c r="A83" s="33"/>
    </row>
    <row r="84" spans="1:1" ht="13.9">
      <c r="A84" s="33"/>
    </row>
    <row r="85" spans="1:1" ht="13.9">
      <c r="A85" s="33"/>
    </row>
    <row r="86" spans="1:1" ht="13.9">
      <c r="A86" s="33"/>
    </row>
    <row r="87" spans="1:1" ht="13.9">
      <c r="A87" s="33"/>
    </row>
    <row r="88" spans="1:1" ht="13.9">
      <c r="A88" s="33"/>
    </row>
    <row r="89" spans="1:1" ht="13.9">
      <c r="A89" s="33"/>
    </row>
    <row r="90" spans="1:1" ht="13.9">
      <c r="A90" s="33"/>
    </row>
    <row r="91" spans="1:1" ht="13.9">
      <c r="A91" s="33"/>
    </row>
    <row r="92" spans="1:1" ht="13.9">
      <c r="A92" s="33"/>
    </row>
    <row r="93" spans="1:1" ht="13.9">
      <c r="A93" s="33"/>
    </row>
    <row r="94" spans="1:1" ht="13.9">
      <c r="A94" s="33"/>
    </row>
    <row r="95" spans="1:1" ht="13.9">
      <c r="A95" s="33"/>
    </row>
    <row r="96" spans="1:1" ht="13.9">
      <c r="A96" s="33"/>
    </row>
    <row r="97" spans="1:1" ht="13.9">
      <c r="A97" s="33"/>
    </row>
    <row r="98" spans="1:1" ht="13.9">
      <c r="A98" s="33"/>
    </row>
    <row r="99" spans="1:1" ht="13.9">
      <c r="A99" s="33"/>
    </row>
    <row r="100" spans="1:1" ht="13.9">
      <c r="A100" s="33"/>
    </row>
    <row r="101" spans="1:1" ht="13.9">
      <c r="A101" s="33"/>
    </row>
    <row r="102" spans="1:1" ht="13.9">
      <c r="A102" s="33"/>
    </row>
    <row r="103" spans="1:1" ht="13.9">
      <c r="A103" s="33"/>
    </row>
    <row r="104" spans="1:1" ht="13.9">
      <c r="A104" s="33"/>
    </row>
    <row r="105" spans="1:1" ht="13.9">
      <c r="A105" s="33"/>
    </row>
    <row r="106" spans="1:1" ht="13.9">
      <c r="A106" s="33"/>
    </row>
    <row r="107" spans="1:1" ht="13.9">
      <c r="A107" s="33"/>
    </row>
    <row r="108" spans="1:1" ht="13.9">
      <c r="A108" s="33"/>
    </row>
    <row r="109" spans="1:1" ht="13.9">
      <c r="A109" s="33"/>
    </row>
    <row r="110" spans="1:1" ht="13.9">
      <c r="A110" s="33"/>
    </row>
    <row r="111" spans="1:1" ht="13.9">
      <c r="A111" s="33"/>
    </row>
    <row r="112" spans="1:1" ht="13.9">
      <c r="A112" s="33"/>
    </row>
    <row r="113" spans="1:1" ht="13.9">
      <c r="A113" s="33"/>
    </row>
    <row r="114" spans="1:1" ht="13.9">
      <c r="A114" s="33"/>
    </row>
    <row r="115" spans="1:1" ht="13.9">
      <c r="A115" s="33"/>
    </row>
    <row r="116" spans="1:1" ht="13.9">
      <c r="A116" s="33"/>
    </row>
    <row r="117" spans="1:1" ht="13.9">
      <c r="A117" s="33"/>
    </row>
    <row r="118" spans="1:1" ht="13.9">
      <c r="A118" s="33"/>
    </row>
    <row r="119" spans="1:1" ht="13.9">
      <c r="A119" s="33"/>
    </row>
    <row r="120" spans="1:1" ht="13.9">
      <c r="A120" s="33"/>
    </row>
    <row r="121" spans="1:1" ht="13.9">
      <c r="A121" s="33"/>
    </row>
    <row r="122" spans="1:1" ht="13.9">
      <c r="A122" s="33"/>
    </row>
    <row r="123" spans="1:1" ht="13.9">
      <c r="A123" s="33"/>
    </row>
    <row r="124" spans="1:1" ht="13.9">
      <c r="A124" s="33"/>
    </row>
    <row r="125" spans="1:1" ht="13.9">
      <c r="A125" s="33"/>
    </row>
    <row r="126" spans="1:1" ht="13.9">
      <c r="A126" s="33"/>
    </row>
    <row r="127" spans="1:1" ht="13.9">
      <c r="A127" s="33"/>
    </row>
    <row r="128" spans="1:1" ht="13.9">
      <c r="A128" s="33"/>
    </row>
    <row r="129" spans="1:1" ht="13.9">
      <c r="A129" s="33"/>
    </row>
    <row r="130" spans="1:1" ht="13.9">
      <c r="A130" s="33"/>
    </row>
    <row r="131" spans="1:1" ht="13.9">
      <c r="A131" s="33"/>
    </row>
    <row r="132" spans="1:1" ht="13.9">
      <c r="A132" s="33"/>
    </row>
    <row r="133" spans="1:1" ht="13.9">
      <c r="A133" s="33"/>
    </row>
    <row r="134" spans="1:1" ht="13.9">
      <c r="A134" s="33"/>
    </row>
    <row r="135" spans="1:1" ht="13.9">
      <c r="A135" s="33"/>
    </row>
    <row r="136" spans="1:1" ht="13.9">
      <c r="A136" s="33"/>
    </row>
    <row r="137" spans="1:1" ht="13.9">
      <c r="A137" s="33"/>
    </row>
    <row r="138" spans="1:1" ht="13.9">
      <c r="A138" s="33"/>
    </row>
    <row r="139" spans="1:1" ht="13.9">
      <c r="A139" s="33"/>
    </row>
    <row r="140" spans="1:1" ht="13.9">
      <c r="A140" s="33"/>
    </row>
    <row r="141" spans="1:1" ht="13.9">
      <c r="A141" s="33"/>
    </row>
    <row r="142" spans="1:1" ht="13.9">
      <c r="A142" s="33"/>
    </row>
    <row r="143" spans="1:1" ht="13.9">
      <c r="A143" s="33"/>
    </row>
    <row r="144" spans="1:1" ht="13.9">
      <c r="A144" s="33"/>
    </row>
    <row r="145" spans="1:1" ht="13.9">
      <c r="A145" s="33"/>
    </row>
    <row r="146" spans="1:1" ht="13.9">
      <c r="A146" s="33"/>
    </row>
    <row r="147" spans="1:1" ht="13.9">
      <c r="A147" s="33"/>
    </row>
    <row r="148" spans="1:1" ht="13.9">
      <c r="A148" s="33"/>
    </row>
    <row r="149" spans="1:1" ht="13.9">
      <c r="A149" s="33"/>
    </row>
    <row r="150" spans="1:1" ht="13.9">
      <c r="A150" s="33"/>
    </row>
    <row r="151" spans="1:1" ht="13.9">
      <c r="A151" s="33"/>
    </row>
    <row r="152" spans="1:1" ht="13.9">
      <c r="A152" s="33"/>
    </row>
    <row r="153" spans="1:1" ht="13.9">
      <c r="A153" s="33"/>
    </row>
    <row r="154" spans="1:1" ht="13.9">
      <c r="A154" s="33"/>
    </row>
    <row r="155" spans="1:1" ht="13.9">
      <c r="A155" s="33"/>
    </row>
    <row r="156" spans="1:1" ht="13.9">
      <c r="A156" s="33"/>
    </row>
    <row r="157" spans="1:1" ht="13.9">
      <c r="A157" s="33"/>
    </row>
    <row r="158" spans="1:1" ht="13.9">
      <c r="A158" s="33"/>
    </row>
    <row r="159" spans="1:1" ht="13.9">
      <c r="A159" s="33"/>
    </row>
    <row r="160" spans="1:1" ht="13.9">
      <c r="A160" s="33"/>
    </row>
    <row r="161" spans="1:1" ht="13.9">
      <c r="A161" s="33"/>
    </row>
    <row r="162" spans="1:1" ht="13.9">
      <c r="A162" s="33"/>
    </row>
    <row r="163" spans="1:1" ht="13.9">
      <c r="A163" s="33"/>
    </row>
    <row r="164" spans="1:1" ht="13.9">
      <c r="A164" s="33"/>
    </row>
    <row r="165" spans="1:1" ht="13.9">
      <c r="A165" s="33"/>
    </row>
    <row r="166" spans="1:1" ht="13.9">
      <c r="A166" s="33"/>
    </row>
    <row r="167" spans="1:1" ht="13.9">
      <c r="A167" s="33"/>
    </row>
    <row r="168" spans="1:1" ht="13.9">
      <c r="A168" s="33"/>
    </row>
    <row r="169" spans="1:1" ht="13.9">
      <c r="A169" s="33"/>
    </row>
    <row r="170" spans="1:1" ht="13.9">
      <c r="A170" s="33"/>
    </row>
    <row r="171" spans="1:1" ht="13.9">
      <c r="A171" s="33"/>
    </row>
    <row r="172" spans="1:1" ht="13.9">
      <c r="A172" s="33"/>
    </row>
    <row r="173" spans="1:1" ht="13.9">
      <c r="A173" s="33"/>
    </row>
    <row r="174" spans="1:1" ht="13.9">
      <c r="A174" s="33"/>
    </row>
    <row r="175" spans="1:1" ht="13.9">
      <c r="A175" s="33"/>
    </row>
    <row r="176" spans="1:1" ht="13.9">
      <c r="A176" s="33"/>
    </row>
    <row r="177" spans="1:1" ht="13.9">
      <c r="A177" s="33"/>
    </row>
    <row r="178" spans="1:1" ht="13.9">
      <c r="A178" s="33"/>
    </row>
    <row r="179" spans="1:1" ht="13.9">
      <c r="A179" s="33"/>
    </row>
    <row r="180" spans="1:1" ht="13.9">
      <c r="A180" s="33"/>
    </row>
    <row r="181" spans="1:1" ht="13.9">
      <c r="A181" s="33"/>
    </row>
    <row r="182" spans="1:1" ht="13.9">
      <c r="A182" s="33"/>
    </row>
    <row r="183" spans="1:1" ht="13.9">
      <c r="A183" s="33"/>
    </row>
    <row r="184" spans="1:1" ht="13.9">
      <c r="A184" s="33"/>
    </row>
    <row r="185" spans="1:1" ht="13.9">
      <c r="A185" s="33"/>
    </row>
    <row r="186" spans="1:1" ht="13.9">
      <c r="A186" s="33"/>
    </row>
    <row r="187" spans="1:1" ht="13.9">
      <c r="A187" s="33"/>
    </row>
    <row r="188" spans="1:1" ht="13.9">
      <c r="A188" s="33"/>
    </row>
    <row r="189" spans="1:1" ht="13.9">
      <c r="A189" s="33"/>
    </row>
    <row r="190" spans="1:1" ht="13.9">
      <c r="A190" s="33"/>
    </row>
    <row r="191" spans="1:1" ht="13.9">
      <c r="A191" s="33"/>
    </row>
    <row r="192" spans="1:1" ht="13.9">
      <c r="A192" s="33"/>
    </row>
    <row r="193" spans="1:1" ht="13.9">
      <c r="A193" s="33"/>
    </row>
    <row r="194" spans="1:1" ht="13.9">
      <c r="A194" s="33"/>
    </row>
    <row r="195" spans="1:1" ht="13.9">
      <c r="A195" s="33"/>
    </row>
    <row r="196" spans="1:1" ht="13.9">
      <c r="A196" s="33"/>
    </row>
    <row r="197" spans="1:1" ht="13.9">
      <c r="A197" s="33"/>
    </row>
    <row r="198" spans="1:1" ht="13.9">
      <c r="A198" s="33"/>
    </row>
    <row r="199" spans="1:1" ht="13.9">
      <c r="A199" s="33"/>
    </row>
    <row r="200" spans="1:1" ht="13.9">
      <c r="A200" s="33"/>
    </row>
  </sheetData>
  <mergeCells count="2">
    <mergeCell ref="A1:J1"/>
    <mergeCell ref="A14:J14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0"/>
  <sheetViews>
    <sheetView tabSelected="1" workbookViewId="0">
      <selection sqref="A1:E1"/>
    </sheetView>
  </sheetViews>
  <sheetFormatPr defaultRowHeight="13.5"/>
  <cols>
    <col min="1" max="1" width="32" customWidth="1"/>
    <col min="2" max="2" width="18" customWidth="1"/>
    <col min="3" max="3" width="14" customWidth="1"/>
    <col min="4" max="4" width="32" customWidth="1"/>
    <col min="5" max="5" width="14" customWidth="1"/>
  </cols>
  <sheetData>
    <row r="1" spans="1:5" ht="18.75">
      <c r="A1" s="47" t="s">
        <v>183</v>
      </c>
      <c r="B1" s="52"/>
      <c r="C1" s="52"/>
      <c r="D1" s="52"/>
      <c r="E1" s="52"/>
    </row>
    <row r="2" spans="1:5" ht="13.9">
      <c r="A2" s="33"/>
    </row>
    <row r="3" spans="1:5" ht="14.65">
      <c r="A3" s="39" t="s">
        <v>184</v>
      </c>
      <c r="B3" s="14" t="s">
        <v>185</v>
      </c>
      <c r="C3" s="14" t="s">
        <v>186</v>
      </c>
      <c r="D3" s="14" t="s">
        <v>187</v>
      </c>
      <c r="E3" s="14" t="s">
        <v>7</v>
      </c>
    </row>
    <row r="4" spans="1:5" ht="13.9">
      <c r="A4" s="33" t="s">
        <v>188</v>
      </c>
      <c r="B4">
        <v>60</v>
      </c>
      <c r="C4" t="s">
        <v>189</v>
      </c>
      <c r="D4" s="3" t="s">
        <v>190</v>
      </c>
      <c r="E4" t="s">
        <v>191</v>
      </c>
    </row>
    <row r="5" spans="1:5" ht="13.9">
      <c r="A5" s="33" t="s">
        <v>192</v>
      </c>
      <c r="B5">
        <v>100</v>
      </c>
      <c r="C5" t="s">
        <v>189</v>
      </c>
      <c r="D5" s="3" t="s">
        <v>9</v>
      </c>
      <c r="E5" t="s">
        <v>191</v>
      </c>
    </row>
    <row r="6" spans="1:5" ht="13.9">
      <c r="A6" s="33" t="s">
        <v>193</v>
      </c>
      <c r="B6">
        <v>500</v>
      </c>
      <c r="C6" t="s">
        <v>189</v>
      </c>
      <c r="D6" s="3" t="s">
        <v>14</v>
      </c>
      <c r="E6" t="s">
        <v>191</v>
      </c>
    </row>
    <row r="7" spans="1:5" ht="13.9">
      <c r="A7" s="33" t="s">
        <v>194</v>
      </c>
      <c r="B7">
        <v>1000</v>
      </c>
      <c r="C7" t="s">
        <v>189</v>
      </c>
      <c r="D7" s="3" t="s">
        <v>195</v>
      </c>
      <c r="E7" t="s">
        <v>191</v>
      </c>
    </row>
    <row r="8" spans="1:5" ht="13.9">
      <c r="A8" s="33" t="s">
        <v>196</v>
      </c>
      <c r="B8" t="s">
        <v>197</v>
      </c>
      <c r="C8" t="s">
        <v>198</v>
      </c>
      <c r="D8" s="3" t="s">
        <v>199</v>
      </c>
      <c r="E8" t="s">
        <v>191</v>
      </c>
    </row>
    <row r="9" spans="1:5" ht="13.9">
      <c r="A9" s="33" t="s">
        <v>200</v>
      </c>
      <c r="B9" s="31" t="b">
        <v>1</v>
      </c>
      <c r="C9" t="s">
        <v>201</v>
      </c>
      <c r="D9" s="3" t="s">
        <v>202</v>
      </c>
      <c r="E9" t="s">
        <v>191</v>
      </c>
    </row>
    <row r="10" spans="1:5" ht="13.9">
      <c r="A10" s="33" t="s">
        <v>203</v>
      </c>
      <c r="B10">
        <v>0</v>
      </c>
      <c r="C10" t="s">
        <v>189</v>
      </c>
      <c r="D10" s="3" t="s">
        <v>204</v>
      </c>
      <c r="E10" t="s">
        <v>191</v>
      </c>
    </row>
    <row r="11" spans="1:5" ht="13.9">
      <c r="A11" s="33" t="s">
        <v>205</v>
      </c>
      <c r="B11" s="31" t="b">
        <v>0</v>
      </c>
      <c r="C11" t="s">
        <v>201</v>
      </c>
      <c r="D11" s="3" t="s">
        <v>206</v>
      </c>
      <c r="E11" t="s">
        <v>191</v>
      </c>
    </row>
    <row r="12" spans="1:5" ht="13.9">
      <c r="A12" s="33" t="s">
        <v>207</v>
      </c>
      <c r="B12">
        <v>3</v>
      </c>
      <c r="C12" t="s">
        <v>189</v>
      </c>
      <c r="D12" s="3" t="s">
        <v>208</v>
      </c>
      <c r="E12" t="s">
        <v>191</v>
      </c>
    </row>
    <row r="13" spans="1:5" ht="13.9">
      <c r="A13" s="33" t="s">
        <v>209</v>
      </c>
      <c r="B13">
        <v>1500</v>
      </c>
      <c r="C13" t="s">
        <v>189</v>
      </c>
      <c r="D13" s="3" t="s">
        <v>210</v>
      </c>
      <c r="E13" t="s">
        <v>211</v>
      </c>
    </row>
    <row r="14" spans="1:5" ht="13.9">
      <c r="A14" s="33" t="s">
        <v>212</v>
      </c>
      <c r="B14">
        <v>10</v>
      </c>
      <c r="C14" t="s">
        <v>189</v>
      </c>
      <c r="D14" s="3" t="s">
        <v>213</v>
      </c>
      <c r="E14" t="s">
        <v>191</v>
      </c>
    </row>
    <row r="15" spans="1:5" ht="13.9">
      <c r="A15" s="33" t="s">
        <v>214</v>
      </c>
      <c r="B15">
        <v>100</v>
      </c>
      <c r="C15" t="s">
        <v>189</v>
      </c>
      <c r="D15" s="3" t="s">
        <v>215</v>
      </c>
      <c r="E15" t="s">
        <v>211</v>
      </c>
    </row>
    <row r="16" spans="1:5" ht="13.9">
      <c r="A16" s="45" t="s">
        <v>216</v>
      </c>
      <c r="B16" s="16" t="s">
        <v>217</v>
      </c>
      <c r="C16" s="16" t="s">
        <v>218</v>
      </c>
      <c r="D16" s="13" t="s">
        <v>219</v>
      </c>
      <c r="E16" s="16" t="s">
        <v>191</v>
      </c>
    </row>
    <row r="17" spans="1:1" ht="13.9">
      <c r="A17" s="33"/>
    </row>
    <row r="18" spans="1:1" ht="13.9">
      <c r="A18" s="33"/>
    </row>
    <row r="19" spans="1:1" ht="13.9">
      <c r="A19" s="33"/>
    </row>
    <row r="20" spans="1:1" ht="13.9">
      <c r="A20" s="33"/>
    </row>
    <row r="21" spans="1:1" ht="13.9">
      <c r="A21" s="33"/>
    </row>
    <row r="22" spans="1:1" ht="13.9">
      <c r="A22" s="33"/>
    </row>
    <row r="23" spans="1:1" ht="13.9">
      <c r="A23" s="33"/>
    </row>
    <row r="24" spans="1:1" ht="13.9">
      <c r="A24" s="33"/>
    </row>
    <row r="25" spans="1:1" ht="13.9">
      <c r="A25" s="33"/>
    </row>
    <row r="26" spans="1:1" ht="13.9">
      <c r="A26" s="33"/>
    </row>
    <row r="27" spans="1:1" ht="13.9">
      <c r="A27" s="33"/>
    </row>
    <row r="28" spans="1:1" ht="13.9">
      <c r="A28" s="33"/>
    </row>
    <row r="29" spans="1:1" ht="13.9">
      <c r="A29" s="33"/>
    </row>
    <row r="30" spans="1:1" ht="13.9">
      <c r="A30" s="33"/>
    </row>
    <row r="31" spans="1:1" ht="13.9">
      <c r="A31" s="33"/>
    </row>
    <row r="32" spans="1:1" ht="13.9">
      <c r="A32" s="33"/>
    </row>
    <row r="33" spans="1:1" ht="13.9">
      <c r="A33" s="33"/>
    </row>
    <row r="34" spans="1:1" ht="13.9">
      <c r="A34" s="33"/>
    </row>
    <row r="35" spans="1:1" ht="13.9">
      <c r="A35" s="33"/>
    </row>
    <row r="36" spans="1:1" ht="13.9">
      <c r="A36" s="33"/>
    </row>
    <row r="37" spans="1:1" ht="13.9">
      <c r="A37" s="33"/>
    </row>
    <row r="38" spans="1:1" ht="13.9">
      <c r="A38" s="33"/>
    </row>
    <row r="39" spans="1:1" ht="13.9">
      <c r="A39" s="33"/>
    </row>
    <row r="40" spans="1:1" ht="13.9">
      <c r="A40" s="33"/>
    </row>
    <row r="41" spans="1:1" ht="13.9">
      <c r="A41" s="33"/>
    </row>
    <row r="42" spans="1:1" ht="13.9">
      <c r="A42" s="33"/>
    </row>
    <row r="43" spans="1:1" ht="13.9">
      <c r="A43" s="33"/>
    </row>
    <row r="44" spans="1:1" ht="13.9">
      <c r="A44" s="33"/>
    </row>
    <row r="45" spans="1:1" ht="13.9">
      <c r="A45" s="33"/>
    </row>
    <row r="46" spans="1:1" ht="13.9">
      <c r="A46" s="33"/>
    </row>
    <row r="47" spans="1:1" ht="13.9">
      <c r="A47" s="33"/>
    </row>
    <row r="48" spans="1:1" ht="13.9">
      <c r="A48" s="33"/>
    </row>
    <row r="49" spans="1:1" ht="13.9">
      <c r="A49" s="33"/>
    </row>
    <row r="50" spans="1:1" ht="13.9">
      <c r="A50" s="33"/>
    </row>
    <row r="51" spans="1:1" ht="13.9">
      <c r="A51" s="33"/>
    </row>
    <row r="52" spans="1:1" ht="13.9">
      <c r="A52" s="33"/>
    </row>
    <row r="53" spans="1:1" ht="13.9">
      <c r="A53" s="33"/>
    </row>
    <row r="54" spans="1:1" ht="13.9">
      <c r="A54" s="33"/>
    </row>
    <row r="55" spans="1:1" ht="13.9">
      <c r="A55" s="33"/>
    </row>
    <row r="56" spans="1:1" ht="13.9">
      <c r="A56" s="33"/>
    </row>
    <row r="57" spans="1:1" ht="13.9">
      <c r="A57" s="33"/>
    </row>
    <row r="58" spans="1:1" ht="13.9">
      <c r="A58" s="33"/>
    </row>
    <row r="59" spans="1:1" ht="13.9">
      <c r="A59" s="33"/>
    </row>
    <row r="60" spans="1:1" ht="13.9">
      <c r="A60" s="33"/>
    </row>
    <row r="61" spans="1:1" ht="13.9">
      <c r="A61" s="33"/>
    </row>
    <row r="62" spans="1:1" ht="13.9">
      <c r="A62" s="33"/>
    </row>
    <row r="63" spans="1:1" ht="13.9">
      <c r="A63" s="33"/>
    </row>
    <row r="64" spans="1:1" ht="13.9">
      <c r="A64" s="33"/>
    </row>
    <row r="65" spans="1:1" ht="13.9">
      <c r="A65" s="33"/>
    </row>
    <row r="66" spans="1:1" ht="13.9">
      <c r="A66" s="33"/>
    </row>
    <row r="67" spans="1:1" ht="13.9">
      <c r="A67" s="33"/>
    </row>
    <row r="68" spans="1:1" ht="13.9">
      <c r="A68" s="33"/>
    </row>
    <row r="69" spans="1:1" ht="13.9">
      <c r="A69" s="33"/>
    </row>
    <row r="70" spans="1:1" ht="13.9">
      <c r="A70" s="33"/>
    </row>
    <row r="71" spans="1:1" ht="13.9">
      <c r="A71" s="33"/>
    </row>
    <row r="72" spans="1:1" ht="13.9">
      <c r="A72" s="33"/>
    </row>
    <row r="73" spans="1:1" ht="13.9">
      <c r="A73" s="33"/>
    </row>
    <row r="74" spans="1:1" ht="13.9">
      <c r="A74" s="33"/>
    </row>
    <row r="75" spans="1:1" ht="13.9">
      <c r="A75" s="33"/>
    </row>
    <row r="76" spans="1:1" ht="13.9">
      <c r="A76" s="33"/>
    </row>
    <row r="77" spans="1:1" ht="13.9">
      <c r="A77" s="33"/>
    </row>
    <row r="78" spans="1:1" ht="13.9">
      <c r="A78" s="33"/>
    </row>
    <row r="79" spans="1:1" ht="13.9">
      <c r="A79" s="33"/>
    </row>
    <row r="80" spans="1:1" ht="13.9">
      <c r="A80" s="33"/>
    </row>
    <row r="81" spans="1:1" ht="13.9">
      <c r="A81" s="33"/>
    </row>
    <row r="82" spans="1:1" ht="13.9">
      <c r="A82" s="33"/>
    </row>
    <row r="83" spans="1:1" ht="13.9">
      <c r="A83" s="33"/>
    </row>
    <row r="84" spans="1:1" ht="13.9">
      <c r="A84" s="33"/>
    </row>
    <row r="85" spans="1:1" ht="13.9">
      <c r="A85" s="33"/>
    </row>
    <row r="86" spans="1:1" ht="13.9">
      <c r="A86" s="33"/>
    </row>
    <row r="87" spans="1:1" ht="13.9">
      <c r="A87" s="33"/>
    </row>
    <row r="88" spans="1:1" ht="13.9">
      <c r="A88" s="33"/>
    </row>
    <row r="89" spans="1:1" ht="13.9">
      <c r="A89" s="33"/>
    </row>
    <row r="90" spans="1:1" ht="13.9">
      <c r="A90" s="33"/>
    </row>
    <row r="91" spans="1:1" ht="13.9">
      <c r="A91" s="33"/>
    </row>
    <row r="92" spans="1:1" ht="13.9">
      <c r="A92" s="33"/>
    </row>
    <row r="93" spans="1:1" ht="13.9">
      <c r="A93" s="33"/>
    </row>
    <row r="94" spans="1:1" ht="13.9">
      <c r="A94" s="33"/>
    </row>
    <row r="95" spans="1:1" ht="13.9">
      <c r="A95" s="33"/>
    </row>
    <row r="96" spans="1:1" ht="13.9">
      <c r="A96" s="33"/>
    </row>
    <row r="97" spans="1:1" ht="13.9">
      <c r="A97" s="33"/>
    </row>
    <row r="98" spans="1:1" ht="13.9">
      <c r="A98" s="33"/>
    </row>
    <row r="99" spans="1:1" ht="13.9">
      <c r="A99" s="33"/>
    </row>
    <row r="100" spans="1:1" ht="13.9">
      <c r="A100" s="33"/>
    </row>
    <row r="101" spans="1:1" ht="13.9">
      <c r="A101" s="33"/>
    </row>
    <row r="102" spans="1:1" ht="13.9">
      <c r="A102" s="33"/>
    </row>
    <row r="103" spans="1:1" ht="13.9">
      <c r="A103" s="33"/>
    </row>
    <row r="104" spans="1:1" ht="13.9">
      <c r="A104" s="33"/>
    </row>
    <row r="105" spans="1:1" ht="13.9">
      <c r="A105" s="33"/>
    </row>
    <row r="106" spans="1:1" ht="13.9">
      <c r="A106" s="33"/>
    </row>
    <row r="107" spans="1:1" ht="13.9">
      <c r="A107" s="33"/>
    </row>
    <row r="108" spans="1:1" ht="13.9">
      <c r="A108" s="33"/>
    </row>
    <row r="109" spans="1:1" ht="13.9">
      <c r="A109" s="33"/>
    </row>
    <row r="110" spans="1:1" ht="13.9">
      <c r="A110" s="33"/>
    </row>
    <row r="111" spans="1:1" ht="13.9">
      <c r="A111" s="33"/>
    </row>
    <row r="112" spans="1:1" ht="13.9">
      <c r="A112" s="33"/>
    </row>
    <row r="113" spans="1:1" ht="13.9">
      <c r="A113" s="33"/>
    </row>
    <row r="114" spans="1:1" ht="13.9">
      <c r="A114" s="33"/>
    </row>
    <row r="115" spans="1:1" ht="13.9">
      <c r="A115" s="33"/>
    </row>
    <row r="116" spans="1:1" ht="13.9">
      <c r="A116" s="33"/>
    </row>
    <row r="117" spans="1:1" ht="13.9">
      <c r="A117" s="33"/>
    </row>
    <row r="118" spans="1:1" ht="13.9">
      <c r="A118" s="33"/>
    </row>
    <row r="119" spans="1:1" ht="13.9">
      <c r="A119" s="33"/>
    </row>
    <row r="120" spans="1:1" ht="13.9">
      <c r="A120" s="33"/>
    </row>
    <row r="121" spans="1:1" ht="13.9">
      <c r="A121" s="33"/>
    </row>
    <row r="122" spans="1:1" ht="13.9">
      <c r="A122" s="33"/>
    </row>
    <row r="123" spans="1:1" ht="13.9">
      <c r="A123" s="33"/>
    </row>
    <row r="124" spans="1:1" ht="13.9">
      <c r="A124" s="33"/>
    </row>
    <row r="125" spans="1:1" ht="13.9">
      <c r="A125" s="33"/>
    </row>
    <row r="126" spans="1:1" ht="13.9">
      <c r="A126" s="33"/>
    </row>
    <row r="127" spans="1:1" ht="13.9">
      <c r="A127" s="33"/>
    </row>
    <row r="128" spans="1:1" ht="13.9">
      <c r="A128" s="33"/>
    </row>
    <row r="129" spans="1:1" ht="13.9">
      <c r="A129" s="33"/>
    </row>
    <row r="130" spans="1:1" ht="13.9">
      <c r="A130" s="33"/>
    </row>
    <row r="131" spans="1:1" ht="13.9">
      <c r="A131" s="33"/>
    </row>
    <row r="132" spans="1:1" ht="13.9">
      <c r="A132" s="33"/>
    </row>
    <row r="133" spans="1:1" ht="13.9">
      <c r="A133" s="33"/>
    </row>
    <row r="134" spans="1:1" ht="13.9">
      <c r="A134" s="33"/>
    </row>
    <row r="135" spans="1:1" ht="13.9">
      <c r="A135" s="33"/>
    </row>
    <row r="136" spans="1:1" ht="13.9">
      <c r="A136" s="33"/>
    </row>
    <row r="137" spans="1:1" ht="13.9">
      <c r="A137" s="33"/>
    </row>
    <row r="138" spans="1:1" ht="13.9">
      <c r="A138" s="33"/>
    </row>
    <row r="139" spans="1:1" ht="13.9">
      <c r="A139" s="33"/>
    </row>
    <row r="140" spans="1:1" ht="13.9">
      <c r="A140" s="33"/>
    </row>
    <row r="141" spans="1:1" ht="13.9">
      <c r="A141" s="33"/>
    </row>
    <row r="142" spans="1:1" ht="13.9">
      <c r="A142" s="33"/>
    </row>
    <row r="143" spans="1:1" ht="13.9">
      <c r="A143" s="33"/>
    </row>
    <row r="144" spans="1:1" ht="13.9">
      <c r="A144" s="33"/>
    </row>
    <row r="145" spans="1:1" ht="13.9">
      <c r="A145" s="33"/>
    </row>
    <row r="146" spans="1:1" ht="13.9">
      <c r="A146" s="33"/>
    </row>
    <row r="147" spans="1:1" ht="13.9">
      <c r="A147" s="33"/>
    </row>
    <row r="148" spans="1:1" ht="13.9">
      <c r="A148" s="33"/>
    </row>
    <row r="149" spans="1:1" ht="13.9">
      <c r="A149" s="33"/>
    </row>
    <row r="150" spans="1:1" ht="13.9">
      <c r="A150" s="33"/>
    </row>
    <row r="151" spans="1:1" ht="13.9">
      <c r="A151" s="33"/>
    </row>
    <row r="152" spans="1:1" ht="13.9">
      <c r="A152" s="33"/>
    </row>
    <row r="153" spans="1:1" ht="13.9">
      <c r="A153" s="33"/>
    </row>
    <row r="154" spans="1:1" ht="13.9">
      <c r="A154" s="33"/>
    </row>
    <row r="155" spans="1:1" ht="13.9">
      <c r="A155" s="33"/>
    </row>
    <row r="156" spans="1:1" ht="13.9">
      <c r="A156" s="33"/>
    </row>
    <row r="157" spans="1:1" ht="13.9">
      <c r="A157" s="33"/>
    </row>
    <row r="158" spans="1:1" ht="13.9">
      <c r="A158" s="33"/>
    </row>
    <row r="159" spans="1:1" ht="13.9">
      <c r="A159" s="33"/>
    </row>
    <row r="160" spans="1:1" ht="13.9">
      <c r="A160" s="33"/>
    </row>
    <row r="161" spans="1:1" ht="13.9">
      <c r="A161" s="33"/>
    </row>
    <row r="162" spans="1:1" ht="13.9">
      <c r="A162" s="33"/>
    </row>
    <row r="163" spans="1:1" ht="13.9">
      <c r="A163" s="33"/>
    </row>
    <row r="164" spans="1:1" ht="13.9">
      <c r="A164" s="33"/>
    </row>
    <row r="165" spans="1:1" ht="13.9">
      <c r="A165" s="33"/>
    </row>
    <row r="166" spans="1:1" ht="13.9">
      <c r="A166" s="33"/>
    </row>
    <row r="167" spans="1:1" ht="13.9">
      <c r="A167" s="33"/>
    </row>
    <row r="168" spans="1:1" ht="13.9">
      <c r="A168" s="33"/>
    </row>
    <row r="169" spans="1:1" ht="13.9">
      <c r="A169" s="33"/>
    </row>
    <row r="170" spans="1:1" ht="13.9">
      <c r="A170" s="33"/>
    </row>
    <row r="171" spans="1:1" ht="13.9">
      <c r="A171" s="33"/>
    </row>
    <row r="172" spans="1:1" ht="13.9">
      <c r="A172" s="33"/>
    </row>
    <row r="173" spans="1:1" ht="13.9">
      <c r="A173" s="33"/>
    </row>
    <row r="174" spans="1:1" ht="13.9">
      <c r="A174" s="33"/>
    </row>
    <row r="175" spans="1:1" ht="13.9">
      <c r="A175" s="33"/>
    </row>
    <row r="176" spans="1:1" ht="13.9">
      <c r="A176" s="33"/>
    </row>
    <row r="177" spans="1:1" ht="13.9">
      <c r="A177" s="33"/>
    </row>
    <row r="178" spans="1:1" ht="13.9">
      <c r="A178" s="33"/>
    </row>
    <row r="179" spans="1:1" ht="13.9">
      <c r="A179" s="33"/>
    </row>
    <row r="180" spans="1:1" ht="13.9">
      <c r="A180" s="33"/>
    </row>
    <row r="181" spans="1:1" ht="13.9">
      <c r="A181" s="33"/>
    </row>
    <row r="182" spans="1:1" ht="13.9">
      <c r="A182" s="33"/>
    </row>
    <row r="183" spans="1:1" ht="13.9">
      <c r="A183" s="33"/>
    </row>
    <row r="184" spans="1:1" ht="13.9">
      <c r="A184" s="33"/>
    </row>
    <row r="185" spans="1:1" ht="13.9">
      <c r="A185" s="33"/>
    </row>
    <row r="186" spans="1:1" ht="13.9">
      <c r="A186" s="33"/>
    </row>
    <row r="187" spans="1:1" ht="13.9">
      <c r="A187" s="33"/>
    </row>
    <row r="188" spans="1:1" ht="13.9">
      <c r="A188" s="33"/>
    </row>
    <row r="189" spans="1:1" ht="13.9">
      <c r="A189" s="33"/>
    </row>
    <row r="190" spans="1:1" ht="13.9">
      <c r="A190" s="33"/>
    </row>
    <row r="191" spans="1:1" ht="13.9">
      <c r="A191" s="33"/>
    </row>
    <row r="192" spans="1:1" ht="13.9">
      <c r="A192" s="33"/>
    </row>
    <row r="193" spans="1:1" ht="13.9">
      <c r="A193" s="33"/>
    </row>
    <row r="194" spans="1:1" ht="13.9">
      <c r="A194" s="33"/>
    </row>
    <row r="195" spans="1:1" ht="13.9">
      <c r="A195" s="33"/>
    </row>
    <row r="196" spans="1:1" ht="13.9">
      <c r="A196" s="33"/>
    </row>
    <row r="197" spans="1:1" ht="13.9">
      <c r="A197" s="33"/>
    </row>
    <row r="198" spans="1:1" ht="13.9">
      <c r="A198" s="33"/>
    </row>
    <row r="199" spans="1:1" ht="13.9">
      <c r="A199" s="33"/>
    </row>
    <row r="200" spans="1:1" ht="13.9">
      <c r="A200" s="33"/>
    </row>
  </sheetData>
  <mergeCells count="1">
    <mergeCell ref="A1:E1"/>
  </mergeCells>
  <phoneticPr fontId="1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规则说明</vt:lpstr>
      <vt:lpstr>升级经验区间</vt:lpstr>
      <vt:lpstr>逐级经验明细</vt:lpstr>
      <vt:lpstr>经验计算器</vt:lpstr>
      <vt:lpstr>校验样例</vt:lpstr>
      <vt:lpstr>Codex配置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Susie Wu</cp:lastModifiedBy>
  <dcterms:modified xsi:type="dcterms:W3CDTF">2026-08-03T05:13:44Z</dcterms:modified>
</cp:coreProperties>
</file>